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05"/>
  <workbookPr defaultThemeVersion="166925"/>
  <mc:AlternateContent xmlns:mc="http://schemas.openxmlformats.org/markup-compatibility/2006">
    <mc:Choice Requires="x15">
      <x15ac:absPath xmlns:x15ac="http://schemas.microsoft.com/office/spreadsheetml/2010/11/ac" url="Y:\Kennisbasis\water\globalnutrients\ssp_2019\basisdata\scenario\"/>
    </mc:Choice>
  </mc:AlternateContent>
  <xr:revisionPtr revIDLastSave="0" documentId="13_ncr:1_{29693F3D-8238-439A-957C-BEA0D246B001}" xr6:coauthVersionLast="47" xr6:coauthVersionMax="47" xr10:uidLastSave="{00000000-0000-0000-0000-000000000000}"/>
  <bookViews>
    <workbookView xWindow="-120" yWindow="-120" windowWidth="29040" windowHeight="15840" xr2:uid="{652F12F5-9A10-4794-97A4-F7D140B97687}"/>
  </bookViews>
  <sheets>
    <sheet name="README" sheetId="20" r:id="rId1"/>
    <sheet name="unop" sheetId="1" r:id="rId2"/>
    <sheet name="latr" sheetId="2" r:id="rId3"/>
    <sheet name="sept" sheetId="3" r:id="rId4"/>
    <sheet name="sewr" sheetId="4" r:id="rId5"/>
    <sheet name="prim" sheetId="5" r:id="rId6"/>
    <sheet name="secu" sheetId="6" r:id="rId7"/>
    <sheet name="tert" sheetId="7" r:id="rId8"/>
    <sheet name="quat" sheetId="8" r:id="rId9"/>
    <sheet name="gdp" sheetId="9" r:id="rId10"/>
    <sheet name="popnum" sheetId="10" r:id="rId11"/>
    <sheet name="popurb" sheetId="11" r:id="rId12"/>
  </sheets>
  <externalReferences>
    <externalReference r:id="rId13"/>
    <externalReference r:id="rId1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04" i="10" l="1"/>
  <c r="E204" i="10"/>
  <c r="D204" i="10"/>
  <c r="C204" i="10"/>
  <c r="B204" i="10"/>
  <c r="A204" i="10"/>
  <c r="F203" i="10"/>
  <c r="E203" i="10"/>
  <c r="D203" i="10"/>
  <c r="C203" i="10"/>
  <c r="B203" i="10"/>
  <c r="A203" i="10"/>
  <c r="F202" i="10"/>
  <c r="E202" i="10"/>
  <c r="D202" i="10"/>
  <c r="C202" i="10"/>
  <c r="B202" i="10"/>
  <c r="A202" i="10"/>
  <c r="F201" i="10"/>
  <c r="E201" i="10"/>
  <c r="D201" i="10"/>
  <c r="C201" i="10"/>
  <c r="B201" i="10"/>
  <c r="A201" i="10"/>
  <c r="F200" i="10"/>
  <c r="E200" i="10"/>
  <c r="D200" i="10"/>
  <c r="C200" i="10"/>
  <c r="B200" i="10"/>
  <c r="A200" i="10"/>
  <c r="F199" i="10"/>
  <c r="E199" i="10"/>
  <c r="D199" i="10"/>
  <c r="C199" i="10"/>
  <c r="B199" i="10"/>
  <c r="A199" i="10"/>
  <c r="F198" i="10"/>
  <c r="E198" i="10"/>
  <c r="D198" i="10"/>
  <c r="C198" i="10"/>
  <c r="B198" i="10"/>
  <c r="A198" i="10"/>
  <c r="F197" i="10"/>
  <c r="E197" i="10"/>
  <c r="D197" i="10"/>
  <c r="C197" i="10"/>
  <c r="B197" i="10"/>
  <c r="A197" i="10"/>
  <c r="F196" i="10"/>
  <c r="E196" i="10"/>
  <c r="D196" i="10"/>
  <c r="C196" i="10"/>
  <c r="B196" i="10"/>
  <c r="A196" i="10"/>
  <c r="F195" i="10"/>
  <c r="E195" i="10"/>
  <c r="D195" i="10"/>
  <c r="C195" i="10"/>
  <c r="B195" i="10"/>
  <c r="A195" i="10"/>
  <c r="F194" i="10"/>
  <c r="E194" i="10"/>
  <c r="D194" i="10"/>
  <c r="C194" i="10"/>
  <c r="B194" i="10"/>
  <c r="A194" i="10"/>
  <c r="F193" i="10"/>
  <c r="E193" i="10"/>
  <c r="D193" i="10"/>
  <c r="C193" i="10"/>
  <c r="B193" i="10"/>
  <c r="A193" i="10"/>
  <c r="F192" i="10"/>
  <c r="E192" i="10"/>
  <c r="D192" i="10"/>
  <c r="C192" i="10"/>
  <c r="B192" i="10"/>
  <c r="A192" i="10"/>
  <c r="F191" i="10"/>
  <c r="E191" i="10"/>
  <c r="D191" i="10"/>
  <c r="C191" i="10"/>
  <c r="B191" i="10"/>
  <c r="A191" i="10"/>
  <c r="F190" i="10"/>
  <c r="E190" i="10"/>
  <c r="D190" i="10"/>
  <c r="C190" i="10"/>
  <c r="B190" i="10"/>
  <c r="A190" i="10"/>
  <c r="F189" i="10"/>
  <c r="E189" i="10"/>
  <c r="D189" i="10"/>
  <c r="C189" i="10"/>
  <c r="B189" i="10"/>
  <c r="A189" i="10"/>
  <c r="F188" i="10"/>
  <c r="E188" i="10"/>
  <c r="D188" i="10"/>
  <c r="C188" i="10"/>
  <c r="B188" i="10"/>
  <c r="A188" i="10"/>
  <c r="F187" i="10"/>
  <c r="E187" i="10"/>
  <c r="D187" i="10"/>
  <c r="C187" i="10"/>
  <c r="B187" i="10"/>
  <c r="A187" i="10"/>
  <c r="F186" i="10"/>
  <c r="E186" i="10"/>
  <c r="D186" i="10"/>
  <c r="C186" i="10"/>
  <c r="B186" i="10"/>
  <c r="A186" i="10"/>
  <c r="F185" i="10"/>
  <c r="E185" i="10"/>
  <c r="D185" i="10"/>
  <c r="C185" i="10"/>
  <c r="B185" i="10"/>
  <c r="A185" i="10"/>
  <c r="F184" i="10"/>
  <c r="E184" i="10"/>
  <c r="D184" i="10"/>
  <c r="C184" i="10"/>
  <c r="B184" i="10"/>
  <c r="A184" i="10"/>
  <c r="F183" i="10"/>
  <c r="E183" i="10"/>
  <c r="D183" i="10"/>
  <c r="C183" i="10"/>
  <c r="B183" i="10"/>
  <c r="A183" i="10"/>
  <c r="F182" i="10"/>
  <c r="E182" i="10"/>
  <c r="D182" i="10"/>
  <c r="C182" i="10"/>
  <c r="B182" i="10"/>
  <c r="A182" i="10"/>
  <c r="F181" i="10"/>
  <c r="E181" i="10"/>
  <c r="D181" i="10"/>
  <c r="C181" i="10"/>
  <c r="B181" i="10"/>
  <c r="A181" i="10"/>
  <c r="F180" i="10"/>
  <c r="E180" i="10"/>
  <c r="D180" i="10"/>
  <c r="C180" i="10"/>
  <c r="B180" i="10"/>
  <c r="A180" i="10"/>
  <c r="F179" i="10"/>
  <c r="E179" i="10"/>
  <c r="D179" i="10"/>
  <c r="C179" i="10"/>
  <c r="B179" i="10"/>
  <c r="A179" i="10"/>
  <c r="F178" i="10"/>
  <c r="E178" i="10"/>
  <c r="D178" i="10"/>
  <c r="C178" i="10"/>
  <c r="B178" i="10"/>
  <c r="A178" i="10"/>
  <c r="F177" i="10"/>
  <c r="E177" i="10"/>
  <c r="D177" i="10"/>
  <c r="C177" i="10"/>
  <c r="B177" i="10"/>
  <c r="A177" i="10"/>
  <c r="F176" i="10"/>
  <c r="E176" i="10"/>
  <c r="D176" i="10"/>
  <c r="C176" i="10"/>
  <c r="B176" i="10"/>
  <c r="A176" i="10"/>
  <c r="F175" i="10"/>
  <c r="E175" i="10"/>
  <c r="D175" i="10"/>
  <c r="C175" i="10"/>
  <c r="B175" i="10"/>
  <c r="A175" i="10"/>
  <c r="F174" i="10"/>
  <c r="E174" i="10"/>
  <c r="D174" i="10"/>
  <c r="C174" i="10"/>
  <c r="B174" i="10"/>
  <c r="A174" i="10"/>
  <c r="F173" i="10"/>
  <c r="E173" i="10"/>
  <c r="D173" i="10"/>
  <c r="C173" i="10"/>
  <c r="B173" i="10"/>
  <c r="A173" i="10"/>
  <c r="F172" i="10"/>
  <c r="E172" i="10"/>
  <c r="D172" i="10"/>
  <c r="C172" i="10"/>
  <c r="B172" i="10"/>
  <c r="A172" i="10"/>
  <c r="F171" i="10"/>
  <c r="E171" i="10"/>
  <c r="D171" i="10"/>
  <c r="C171" i="10"/>
  <c r="B171" i="10"/>
  <c r="A171" i="10"/>
  <c r="F170" i="10"/>
  <c r="E170" i="10"/>
  <c r="D170" i="10"/>
  <c r="C170" i="10"/>
  <c r="B170" i="10"/>
  <c r="A170" i="10"/>
  <c r="F169" i="10"/>
  <c r="E169" i="10"/>
  <c r="D169" i="10"/>
  <c r="C169" i="10"/>
  <c r="B169" i="10"/>
  <c r="A169" i="10"/>
  <c r="F168" i="10"/>
  <c r="E168" i="10"/>
  <c r="D168" i="10"/>
  <c r="C168" i="10"/>
  <c r="B168" i="10"/>
  <c r="A168" i="10"/>
  <c r="F167" i="10"/>
  <c r="E167" i="10"/>
  <c r="D167" i="10"/>
  <c r="C167" i="10"/>
  <c r="B167" i="10"/>
  <c r="A167" i="10"/>
  <c r="F166" i="10"/>
  <c r="E166" i="10"/>
  <c r="D166" i="10"/>
  <c r="C166" i="10"/>
  <c r="B166" i="10"/>
  <c r="A166" i="10"/>
  <c r="F165" i="10"/>
  <c r="E165" i="10"/>
  <c r="D165" i="10"/>
  <c r="C165" i="10"/>
  <c r="B165" i="10"/>
  <c r="A165" i="10"/>
  <c r="F164" i="10"/>
  <c r="E164" i="10"/>
  <c r="D164" i="10"/>
  <c r="C164" i="10"/>
  <c r="B164" i="10"/>
  <c r="A164" i="10"/>
  <c r="F163" i="10"/>
  <c r="E163" i="10"/>
  <c r="D163" i="10"/>
  <c r="C163" i="10"/>
  <c r="B163" i="10"/>
  <c r="A163" i="10"/>
  <c r="F162" i="10"/>
  <c r="E162" i="10"/>
  <c r="D162" i="10"/>
  <c r="C162" i="10"/>
  <c r="B162" i="10"/>
  <c r="A162" i="10"/>
  <c r="F161" i="10"/>
  <c r="E161" i="10"/>
  <c r="D161" i="10"/>
  <c r="C161" i="10"/>
  <c r="B161" i="10"/>
  <c r="A161" i="10"/>
  <c r="F160" i="10"/>
  <c r="E160" i="10"/>
  <c r="D160" i="10"/>
  <c r="C160" i="10"/>
  <c r="B160" i="10"/>
  <c r="A160" i="10"/>
  <c r="F159" i="10"/>
  <c r="E159" i="10"/>
  <c r="D159" i="10"/>
  <c r="C159" i="10"/>
  <c r="B159" i="10"/>
  <c r="A159" i="10"/>
  <c r="F158" i="10"/>
  <c r="E158" i="10"/>
  <c r="D158" i="10"/>
  <c r="C158" i="10"/>
  <c r="B158" i="10"/>
  <c r="A158" i="10"/>
  <c r="F157" i="10"/>
  <c r="E157" i="10"/>
  <c r="D157" i="10"/>
  <c r="C157" i="10"/>
  <c r="B157" i="10"/>
  <c r="A157" i="10"/>
  <c r="F156" i="10"/>
  <c r="E156" i="10"/>
  <c r="D156" i="10"/>
  <c r="C156" i="10"/>
  <c r="B156" i="10"/>
  <c r="A156" i="10"/>
  <c r="F155" i="10"/>
  <c r="E155" i="10"/>
  <c r="D155" i="10"/>
  <c r="C155" i="10"/>
  <c r="B155" i="10"/>
  <c r="A155" i="10"/>
  <c r="F154" i="10"/>
  <c r="E154" i="10"/>
  <c r="D154" i="10"/>
  <c r="C154" i="10"/>
  <c r="B154" i="10"/>
  <c r="A154" i="10"/>
  <c r="F153" i="10"/>
  <c r="E153" i="10"/>
  <c r="D153" i="10"/>
  <c r="C153" i="10"/>
  <c r="B153" i="10"/>
  <c r="A153" i="10"/>
  <c r="F152" i="10"/>
  <c r="E152" i="10"/>
  <c r="D152" i="10"/>
  <c r="C152" i="10"/>
  <c r="B152" i="10"/>
  <c r="A152" i="10"/>
  <c r="F151" i="10"/>
  <c r="E151" i="10"/>
  <c r="D151" i="10"/>
  <c r="C151" i="10"/>
  <c r="B151" i="10"/>
  <c r="A151" i="10"/>
  <c r="F150" i="10"/>
  <c r="E150" i="10"/>
  <c r="D150" i="10"/>
  <c r="C150" i="10"/>
  <c r="B150" i="10"/>
  <c r="A150" i="10"/>
  <c r="F149" i="10"/>
  <c r="E149" i="10"/>
  <c r="D149" i="10"/>
  <c r="C149" i="10"/>
  <c r="B149" i="10"/>
  <c r="A149" i="10"/>
  <c r="F148" i="10"/>
  <c r="E148" i="10"/>
  <c r="D148" i="10"/>
  <c r="C148" i="10"/>
  <c r="B148" i="10"/>
  <c r="A148" i="10"/>
  <c r="F147" i="10"/>
  <c r="E147" i="10"/>
  <c r="D147" i="10"/>
  <c r="C147" i="10"/>
  <c r="B147" i="10"/>
  <c r="A147" i="10"/>
  <c r="F146" i="10"/>
  <c r="E146" i="10"/>
  <c r="D146" i="10"/>
  <c r="C146" i="10"/>
  <c r="B146" i="10"/>
  <c r="A146" i="10"/>
  <c r="F145" i="10"/>
  <c r="E145" i="10"/>
  <c r="D145" i="10"/>
  <c r="C145" i="10"/>
  <c r="B145" i="10"/>
  <c r="A145" i="10"/>
  <c r="F144" i="10"/>
  <c r="E144" i="10"/>
  <c r="D144" i="10"/>
  <c r="C144" i="10"/>
  <c r="B144" i="10"/>
  <c r="A144" i="10"/>
  <c r="F143" i="10"/>
  <c r="E143" i="10"/>
  <c r="D143" i="10"/>
  <c r="C143" i="10"/>
  <c r="B143" i="10"/>
  <c r="A143" i="10"/>
  <c r="F142" i="10"/>
  <c r="E142" i="10"/>
  <c r="D142" i="10"/>
  <c r="C142" i="10"/>
  <c r="B142" i="10"/>
  <c r="A142" i="10"/>
  <c r="F141" i="10"/>
  <c r="E141" i="10"/>
  <c r="D141" i="10"/>
  <c r="C141" i="10"/>
  <c r="B141" i="10"/>
  <c r="A141" i="10"/>
  <c r="F140" i="10"/>
  <c r="E140" i="10"/>
  <c r="D140" i="10"/>
  <c r="C140" i="10"/>
  <c r="B140" i="10"/>
  <c r="A140" i="10"/>
  <c r="F139" i="10"/>
  <c r="E139" i="10"/>
  <c r="D139" i="10"/>
  <c r="C139" i="10"/>
  <c r="B139" i="10"/>
  <c r="A139" i="10"/>
  <c r="F138" i="10"/>
  <c r="E138" i="10"/>
  <c r="D138" i="10"/>
  <c r="C138" i="10"/>
  <c r="B138" i="10"/>
  <c r="A138" i="10"/>
  <c r="F137" i="10"/>
  <c r="E137" i="10"/>
  <c r="D137" i="10"/>
  <c r="C137" i="10"/>
  <c r="B137" i="10"/>
  <c r="A137" i="10"/>
  <c r="F136" i="10"/>
  <c r="E136" i="10"/>
  <c r="D136" i="10"/>
  <c r="C136" i="10"/>
  <c r="B136" i="10"/>
  <c r="A136" i="10"/>
  <c r="F135" i="10"/>
  <c r="E135" i="10"/>
  <c r="D135" i="10"/>
  <c r="C135" i="10"/>
  <c r="B135" i="10"/>
  <c r="A135" i="10"/>
  <c r="F134" i="10"/>
  <c r="E134" i="10"/>
  <c r="D134" i="10"/>
  <c r="C134" i="10"/>
  <c r="B134" i="10"/>
  <c r="A134" i="10"/>
  <c r="F133" i="10"/>
  <c r="E133" i="10"/>
  <c r="D133" i="10"/>
  <c r="C133" i="10"/>
  <c r="B133" i="10"/>
  <c r="A133" i="10"/>
  <c r="F132" i="10"/>
  <c r="E132" i="10"/>
  <c r="D132" i="10"/>
  <c r="C132" i="10"/>
  <c r="B132" i="10"/>
  <c r="A132" i="10"/>
  <c r="F131" i="10"/>
  <c r="E131" i="10"/>
  <c r="D131" i="10"/>
  <c r="C131" i="10"/>
  <c r="B131" i="10"/>
  <c r="A131" i="10"/>
  <c r="F130" i="10"/>
  <c r="E130" i="10"/>
  <c r="D130" i="10"/>
  <c r="C130" i="10"/>
  <c r="B130" i="10"/>
  <c r="A130" i="10"/>
  <c r="F129" i="10"/>
  <c r="E129" i="10"/>
  <c r="D129" i="10"/>
  <c r="C129" i="10"/>
  <c r="B129" i="10"/>
  <c r="A129" i="10"/>
  <c r="F128" i="10"/>
  <c r="E128" i="10"/>
  <c r="D128" i="10"/>
  <c r="C128" i="10"/>
  <c r="B128" i="10"/>
  <c r="A128" i="10"/>
  <c r="F127" i="10"/>
  <c r="E127" i="10"/>
  <c r="D127" i="10"/>
  <c r="C127" i="10"/>
  <c r="B127" i="10"/>
  <c r="A127" i="10"/>
  <c r="F126" i="10"/>
  <c r="E126" i="10"/>
  <c r="D126" i="10"/>
  <c r="C126" i="10"/>
  <c r="B126" i="10"/>
  <c r="A126" i="10"/>
  <c r="F125" i="10"/>
  <c r="E125" i="10"/>
  <c r="D125" i="10"/>
  <c r="C125" i="10"/>
  <c r="B125" i="10"/>
  <c r="A125" i="10"/>
  <c r="F124" i="10"/>
  <c r="E124" i="10"/>
  <c r="D124" i="10"/>
  <c r="C124" i="10"/>
  <c r="B124" i="10"/>
  <c r="A124" i="10"/>
  <c r="F123" i="10"/>
  <c r="E123" i="10"/>
  <c r="D123" i="10"/>
  <c r="C123" i="10"/>
  <c r="B123" i="10"/>
  <c r="A123" i="10"/>
  <c r="F122" i="10"/>
  <c r="E122" i="10"/>
  <c r="D122" i="10"/>
  <c r="C122" i="10"/>
  <c r="B122" i="10"/>
  <c r="A122" i="10"/>
  <c r="F121" i="10"/>
  <c r="E121" i="10"/>
  <c r="D121" i="10"/>
  <c r="C121" i="10"/>
  <c r="B121" i="10"/>
  <c r="A121" i="10"/>
  <c r="F120" i="10"/>
  <c r="E120" i="10"/>
  <c r="D120" i="10"/>
  <c r="C120" i="10"/>
  <c r="B120" i="10"/>
  <c r="A120" i="10"/>
  <c r="F119" i="10"/>
  <c r="E119" i="10"/>
  <c r="D119" i="10"/>
  <c r="C119" i="10"/>
  <c r="B119" i="10"/>
  <c r="A119" i="10"/>
  <c r="F118" i="10"/>
  <c r="E118" i="10"/>
  <c r="D118" i="10"/>
  <c r="C118" i="10"/>
  <c r="B118" i="10"/>
  <c r="A118" i="10"/>
  <c r="F117" i="10"/>
  <c r="E117" i="10"/>
  <c r="D117" i="10"/>
  <c r="C117" i="10"/>
  <c r="B117" i="10"/>
  <c r="A117" i="10"/>
  <c r="F116" i="10"/>
  <c r="E116" i="10"/>
  <c r="D116" i="10"/>
  <c r="C116" i="10"/>
  <c r="B116" i="10"/>
  <c r="A116" i="10"/>
  <c r="F115" i="10"/>
  <c r="E115" i="10"/>
  <c r="D115" i="10"/>
  <c r="C115" i="10"/>
  <c r="B115" i="10"/>
  <c r="A115" i="10"/>
  <c r="F114" i="10"/>
  <c r="E114" i="10"/>
  <c r="D114" i="10"/>
  <c r="C114" i="10"/>
  <c r="B114" i="10"/>
  <c r="A114" i="10"/>
  <c r="F113" i="10"/>
  <c r="E113" i="10"/>
  <c r="D113" i="10"/>
  <c r="C113" i="10"/>
  <c r="B113" i="10"/>
  <c r="A113" i="10"/>
  <c r="F112" i="10"/>
  <c r="E112" i="10"/>
  <c r="D112" i="10"/>
  <c r="C112" i="10"/>
  <c r="B112" i="10"/>
  <c r="A112" i="10"/>
  <c r="F111" i="10"/>
  <c r="E111" i="10"/>
  <c r="D111" i="10"/>
  <c r="C111" i="10"/>
  <c r="B111" i="10"/>
  <c r="A111" i="10"/>
  <c r="F110" i="10"/>
  <c r="E110" i="10"/>
  <c r="D110" i="10"/>
  <c r="C110" i="10"/>
  <c r="B110" i="10"/>
  <c r="A110" i="10"/>
  <c r="F109" i="10"/>
  <c r="E109" i="10"/>
  <c r="D109" i="10"/>
  <c r="C109" i="10"/>
  <c r="B109" i="10"/>
  <c r="A109" i="10"/>
  <c r="F108" i="10"/>
  <c r="E108" i="10"/>
  <c r="D108" i="10"/>
  <c r="C108" i="10"/>
  <c r="B108" i="10"/>
  <c r="A108" i="10"/>
  <c r="F107" i="10"/>
  <c r="E107" i="10"/>
  <c r="D107" i="10"/>
  <c r="C107" i="10"/>
  <c r="B107" i="10"/>
  <c r="A107" i="10"/>
  <c r="F106" i="10"/>
  <c r="E106" i="10"/>
  <c r="D106" i="10"/>
  <c r="C106" i="10"/>
  <c r="B106" i="10"/>
  <c r="A106" i="10"/>
  <c r="F105" i="10"/>
  <c r="E105" i="10"/>
  <c r="D105" i="10"/>
  <c r="C105" i="10"/>
  <c r="B105" i="10"/>
  <c r="A105" i="10"/>
  <c r="F104" i="10"/>
  <c r="E104" i="10"/>
  <c r="D104" i="10"/>
  <c r="C104" i="10"/>
  <c r="B104" i="10"/>
  <c r="A104" i="10"/>
  <c r="F103" i="10"/>
  <c r="E103" i="10"/>
  <c r="D103" i="10"/>
  <c r="C103" i="10"/>
  <c r="B103" i="10"/>
  <c r="A103" i="10"/>
  <c r="F102" i="10"/>
  <c r="E102" i="10"/>
  <c r="D102" i="10"/>
  <c r="C102" i="10"/>
  <c r="B102" i="10"/>
  <c r="A102" i="10"/>
  <c r="F101" i="10"/>
  <c r="E101" i="10"/>
  <c r="D101" i="10"/>
  <c r="C101" i="10"/>
  <c r="B101" i="10"/>
  <c r="A101" i="10"/>
  <c r="F100" i="10"/>
  <c r="E100" i="10"/>
  <c r="D100" i="10"/>
  <c r="C100" i="10"/>
  <c r="B100" i="10"/>
  <c r="A100" i="10"/>
  <c r="F99" i="10"/>
  <c r="E99" i="10"/>
  <c r="D99" i="10"/>
  <c r="C99" i="10"/>
  <c r="B99" i="10"/>
  <c r="A99" i="10"/>
  <c r="F98" i="10"/>
  <c r="E98" i="10"/>
  <c r="D98" i="10"/>
  <c r="C98" i="10"/>
  <c r="B98" i="10"/>
  <c r="A98" i="10"/>
  <c r="F97" i="10"/>
  <c r="E97" i="10"/>
  <c r="D97" i="10"/>
  <c r="C97" i="10"/>
  <c r="B97" i="10"/>
  <c r="A97" i="10"/>
  <c r="F96" i="10"/>
  <c r="E96" i="10"/>
  <c r="D96" i="10"/>
  <c r="C96" i="10"/>
  <c r="B96" i="10"/>
  <c r="A96" i="10"/>
  <c r="F95" i="10"/>
  <c r="E95" i="10"/>
  <c r="D95" i="10"/>
  <c r="C95" i="10"/>
  <c r="B95" i="10"/>
  <c r="A95" i="10"/>
  <c r="F94" i="10"/>
  <c r="E94" i="10"/>
  <c r="D94" i="10"/>
  <c r="C94" i="10"/>
  <c r="B94" i="10"/>
  <c r="A94" i="10"/>
  <c r="F93" i="10"/>
  <c r="E93" i="10"/>
  <c r="D93" i="10"/>
  <c r="C93" i="10"/>
  <c r="B93" i="10"/>
  <c r="A93" i="10"/>
  <c r="F92" i="10"/>
  <c r="E92" i="10"/>
  <c r="D92" i="10"/>
  <c r="C92" i="10"/>
  <c r="B92" i="10"/>
  <c r="A92" i="10"/>
  <c r="F91" i="10"/>
  <c r="E91" i="10"/>
  <c r="D91" i="10"/>
  <c r="C91" i="10"/>
  <c r="B91" i="10"/>
  <c r="A91" i="10"/>
  <c r="F90" i="10"/>
  <c r="E90" i="10"/>
  <c r="D90" i="10"/>
  <c r="C90" i="10"/>
  <c r="B90" i="10"/>
  <c r="A90" i="10"/>
  <c r="F89" i="10"/>
  <c r="E89" i="10"/>
  <c r="D89" i="10"/>
  <c r="C89" i="10"/>
  <c r="B89" i="10"/>
  <c r="A89" i="10"/>
  <c r="F88" i="10"/>
  <c r="E88" i="10"/>
  <c r="D88" i="10"/>
  <c r="C88" i="10"/>
  <c r="B88" i="10"/>
  <c r="A88" i="10"/>
  <c r="F87" i="10"/>
  <c r="E87" i="10"/>
  <c r="D87" i="10"/>
  <c r="C87" i="10"/>
  <c r="B87" i="10"/>
  <c r="A87" i="10"/>
  <c r="F86" i="10"/>
  <c r="E86" i="10"/>
  <c r="D86" i="10"/>
  <c r="C86" i="10"/>
  <c r="B86" i="10"/>
  <c r="A86" i="10"/>
  <c r="F85" i="10"/>
  <c r="E85" i="10"/>
  <c r="D85" i="10"/>
  <c r="C85" i="10"/>
  <c r="B85" i="10"/>
  <c r="A85" i="10"/>
  <c r="F84" i="10"/>
  <c r="E84" i="10"/>
  <c r="D84" i="10"/>
  <c r="C84" i="10"/>
  <c r="B84" i="10"/>
  <c r="A84" i="10"/>
  <c r="F83" i="10"/>
  <c r="E83" i="10"/>
  <c r="D83" i="10"/>
  <c r="C83" i="10"/>
  <c r="B83" i="10"/>
  <c r="A83" i="10"/>
  <c r="F82" i="10"/>
  <c r="E82" i="10"/>
  <c r="D82" i="10"/>
  <c r="C82" i="10"/>
  <c r="B82" i="10"/>
  <c r="A82" i="10"/>
  <c r="F81" i="10"/>
  <c r="E81" i="10"/>
  <c r="D81" i="10"/>
  <c r="C81" i="10"/>
  <c r="B81" i="10"/>
  <c r="A81" i="10"/>
  <c r="F80" i="10"/>
  <c r="E80" i="10"/>
  <c r="D80" i="10"/>
  <c r="C80" i="10"/>
  <c r="B80" i="10"/>
  <c r="A80" i="10"/>
  <c r="F79" i="10"/>
  <c r="E79" i="10"/>
  <c r="D79" i="10"/>
  <c r="C79" i="10"/>
  <c r="B79" i="10"/>
  <c r="A79" i="10"/>
  <c r="F78" i="10"/>
  <c r="E78" i="10"/>
  <c r="D78" i="10"/>
  <c r="C78" i="10"/>
  <c r="B78" i="10"/>
  <c r="A78" i="10"/>
  <c r="F77" i="10"/>
  <c r="E77" i="10"/>
  <c r="D77" i="10"/>
  <c r="C77" i="10"/>
  <c r="B77" i="10"/>
  <c r="A77" i="10"/>
  <c r="F76" i="10"/>
  <c r="E76" i="10"/>
  <c r="D76" i="10"/>
  <c r="C76" i="10"/>
  <c r="B76" i="10"/>
  <c r="A76" i="10"/>
  <c r="F75" i="10"/>
  <c r="E75" i="10"/>
  <c r="D75" i="10"/>
  <c r="C75" i="10"/>
  <c r="B75" i="10"/>
  <c r="A75" i="10"/>
  <c r="F74" i="10"/>
  <c r="E74" i="10"/>
  <c r="D74" i="10"/>
  <c r="C74" i="10"/>
  <c r="B74" i="10"/>
  <c r="A74" i="10"/>
  <c r="F73" i="10"/>
  <c r="E73" i="10"/>
  <c r="D73" i="10"/>
  <c r="C73" i="10"/>
  <c r="B73" i="10"/>
  <c r="A73" i="10"/>
  <c r="F72" i="10"/>
  <c r="E72" i="10"/>
  <c r="D72" i="10"/>
  <c r="C72" i="10"/>
  <c r="B72" i="10"/>
  <c r="A72" i="10"/>
  <c r="F71" i="10"/>
  <c r="E71" i="10"/>
  <c r="D71" i="10"/>
  <c r="C71" i="10"/>
  <c r="B71" i="10"/>
  <c r="A71" i="10"/>
  <c r="F70" i="10"/>
  <c r="E70" i="10"/>
  <c r="D70" i="10"/>
  <c r="C70" i="10"/>
  <c r="B70" i="10"/>
  <c r="A70" i="10"/>
  <c r="F69" i="10"/>
  <c r="E69" i="10"/>
  <c r="D69" i="10"/>
  <c r="C69" i="10"/>
  <c r="B69" i="10"/>
  <c r="A69" i="10"/>
  <c r="F68" i="10"/>
  <c r="E68" i="10"/>
  <c r="D68" i="10"/>
  <c r="C68" i="10"/>
  <c r="B68" i="10"/>
  <c r="A68" i="10"/>
  <c r="F67" i="10"/>
  <c r="E67" i="10"/>
  <c r="D67" i="10"/>
  <c r="C67" i="10"/>
  <c r="B67" i="10"/>
  <c r="A67" i="10"/>
  <c r="F66" i="10"/>
  <c r="E66" i="10"/>
  <c r="D66" i="10"/>
  <c r="C66" i="10"/>
  <c r="B66" i="10"/>
  <c r="A66" i="10"/>
  <c r="F65" i="10"/>
  <c r="E65" i="10"/>
  <c r="D65" i="10"/>
  <c r="C65" i="10"/>
  <c r="B65" i="10"/>
  <c r="A65" i="10"/>
  <c r="F64" i="10"/>
  <c r="E64" i="10"/>
  <c r="D64" i="10"/>
  <c r="C64" i="10"/>
  <c r="B64" i="10"/>
  <c r="A64" i="10"/>
  <c r="F63" i="10"/>
  <c r="E63" i="10"/>
  <c r="D63" i="10"/>
  <c r="C63" i="10"/>
  <c r="B63" i="10"/>
  <c r="A63" i="10"/>
  <c r="F62" i="10"/>
  <c r="E62" i="10"/>
  <c r="D62" i="10"/>
  <c r="C62" i="10"/>
  <c r="B62" i="10"/>
  <c r="A62" i="10"/>
  <c r="F61" i="10"/>
  <c r="E61" i="10"/>
  <c r="D61" i="10"/>
  <c r="C61" i="10"/>
  <c r="B61" i="10"/>
  <c r="A61" i="10"/>
  <c r="F60" i="10"/>
  <c r="E60" i="10"/>
  <c r="D60" i="10"/>
  <c r="C60" i="10"/>
  <c r="B60" i="10"/>
  <c r="A60" i="10"/>
  <c r="F59" i="10"/>
  <c r="E59" i="10"/>
  <c r="D59" i="10"/>
  <c r="C59" i="10"/>
  <c r="B59" i="10"/>
  <c r="A59" i="10"/>
  <c r="F58" i="10"/>
  <c r="E58" i="10"/>
  <c r="D58" i="10"/>
  <c r="C58" i="10"/>
  <c r="B58" i="10"/>
  <c r="A58" i="10"/>
  <c r="F57" i="10"/>
  <c r="E57" i="10"/>
  <c r="D57" i="10"/>
  <c r="C57" i="10"/>
  <c r="B57" i="10"/>
  <c r="A57" i="10"/>
  <c r="F56" i="10"/>
  <c r="E56" i="10"/>
  <c r="D56" i="10"/>
  <c r="C56" i="10"/>
  <c r="B56" i="10"/>
  <c r="A56" i="10"/>
  <c r="F55" i="10"/>
  <c r="E55" i="10"/>
  <c r="D55" i="10"/>
  <c r="C55" i="10"/>
  <c r="B55" i="10"/>
  <c r="A55" i="10"/>
  <c r="F54" i="10"/>
  <c r="E54" i="10"/>
  <c r="D54" i="10"/>
  <c r="C54" i="10"/>
  <c r="B54" i="10"/>
  <c r="A54" i="10"/>
  <c r="F53" i="10"/>
  <c r="E53" i="10"/>
  <c r="D53" i="10"/>
  <c r="C53" i="10"/>
  <c r="B53" i="10"/>
  <c r="A53" i="10"/>
  <c r="F52" i="10"/>
  <c r="E52" i="10"/>
  <c r="D52" i="10"/>
  <c r="C52" i="10"/>
  <c r="B52" i="10"/>
  <c r="A52" i="10"/>
  <c r="F51" i="10"/>
  <c r="E51" i="10"/>
  <c r="D51" i="10"/>
  <c r="C51" i="10"/>
  <c r="B51" i="10"/>
  <c r="A51" i="10"/>
  <c r="F50" i="10"/>
  <c r="E50" i="10"/>
  <c r="D50" i="10"/>
  <c r="C50" i="10"/>
  <c r="B50" i="10"/>
  <c r="A50" i="10"/>
  <c r="F49" i="10"/>
  <c r="E49" i="10"/>
  <c r="D49" i="10"/>
  <c r="C49" i="10"/>
  <c r="B49" i="10"/>
  <c r="A49" i="10"/>
  <c r="F48" i="10"/>
  <c r="E48" i="10"/>
  <c r="D48" i="10"/>
  <c r="C48" i="10"/>
  <c r="B48" i="10"/>
  <c r="A48" i="10"/>
  <c r="F47" i="10"/>
  <c r="E47" i="10"/>
  <c r="D47" i="10"/>
  <c r="C47" i="10"/>
  <c r="B47" i="10"/>
  <c r="A47" i="10"/>
  <c r="F46" i="10"/>
  <c r="E46" i="10"/>
  <c r="D46" i="10"/>
  <c r="C46" i="10"/>
  <c r="B46" i="10"/>
  <c r="A46" i="10"/>
  <c r="F45" i="10"/>
  <c r="E45" i="10"/>
  <c r="D45" i="10"/>
  <c r="C45" i="10"/>
  <c r="B45" i="10"/>
  <c r="A45" i="10"/>
  <c r="F44" i="10"/>
  <c r="E44" i="10"/>
  <c r="D44" i="10"/>
  <c r="C44" i="10"/>
  <c r="B44" i="10"/>
  <c r="A44" i="10"/>
  <c r="F43" i="10"/>
  <c r="E43" i="10"/>
  <c r="D43" i="10"/>
  <c r="C43" i="10"/>
  <c r="B43" i="10"/>
  <c r="A43" i="10"/>
  <c r="F42" i="10"/>
  <c r="E42" i="10"/>
  <c r="D42" i="10"/>
  <c r="C42" i="10"/>
  <c r="B42" i="10"/>
  <c r="A42" i="10"/>
  <c r="F41" i="10"/>
  <c r="E41" i="10"/>
  <c r="D41" i="10"/>
  <c r="C41" i="10"/>
  <c r="B41" i="10"/>
  <c r="A41" i="10"/>
  <c r="F40" i="10"/>
  <c r="E40" i="10"/>
  <c r="D40" i="10"/>
  <c r="C40" i="10"/>
  <c r="B40" i="10"/>
  <c r="A40" i="10"/>
  <c r="F39" i="10"/>
  <c r="E39" i="10"/>
  <c r="D39" i="10"/>
  <c r="C39" i="10"/>
  <c r="B39" i="10"/>
  <c r="A39" i="10"/>
  <c r="F38" i="10"/>
  <c r="E38" i="10"/>
  <c r="D38" i="10"/>
  <c r="C38" i="10"/>
  <c r="B38" i="10"/>
  <c r="A38" i="10"/>
  <c r="F37" i="10"/>
  <c r="E37" i="10"/>
  <c r="D37" i="10"/>
  <c r="C37" i="10"/>
  <c r="B37" i="10"/>
  <c r="A37" i="10"/>
  <c r="F36" i="10"/>
  <c r="E36" i="10"/>
  <c r="D36" i="10"/>
  <c r="C36" i="10"/>
  <c r="B36" i="10"/>
  <c r="A36" i="10"/>
  <c r="F35" i="10"/>
  <c r="E35" i="10"/>
  <c r="D35" i="10"/>
  <c r="C35" i="10"/>
  <c r="B35" i="10"/>
  <c r="A35" i="10"/>
  <c r="F34" i="10"/>
  <c r="E34" i="10"/>
  <c r="D34" i="10"/>
  <c r="C34" i="10"/>
  <c r="B34" i="10"/>
  <c r="A34" i="10"/>
  <c r="F33" i="10"/>
  <c r="E33" i="10"/>
  <c r="D33" i="10"/>
  <c r="C33" i="10"/>
  <c r="B33" i="10"/>
  <c r="A33" i="10"/>
  <c r="F32" i="10"/>
  <c r="E32" i="10"/>
  <c r="D32" i="10"/>
  <c r="C32" i="10"/>
  <c r="B32" i="10"/>
  <c r="A32" i="10"/>
  <c r="F31" i="10"/>
  <c r="E31" i="10"/>
  <c r="D31" i="10"/>
  <c r="C31" i="10"/>
  <c r="B31" i="10"/>
  <c r="A31" i="10"/>
  <c r="F30" i="10"/>
  <c r="E30" i="10"/>
  <c r="D30" i="10"/>
  <c r="C30" i="10"/>
  <c r="B30" i="10"/>
  <c r="A30" i="10"/>
  <c r="F29" i="10"/>
  <c r="E29" i="10"/>
  <c r="D29" i="10"/>
  <c r="C29" i="10"/>
  <c r="B29" i="10"/>
  <c r="A29" i="10"/>
  <c r="F28" i="10"/>
  <c r="E28" i="10"/>
  <c r="D28" i="10"/>
  <c r="C28" i="10"/>
  <c r="B28" i="10"/>
  <c r="A28" i="10"/>
  <c r="F27" i="10"/>
  <c r="E27" i="10"/>
  <c r="D27" i="10"/>
  <c r="C27" i="10"/>
  <c r="B27" i="10"/>
  <c r="A27" i="10"/>
  <c r="F26" i="10"/>
  <c r="E26" i="10"/>
  <c r="D26" i="10"/>
  <c r="C26" i="10"/>
  <c r="B26" i="10"/>
  <c r="A26" i="10"/>
  <c r="F25" i="10"/>
  <c r="E25" i="10"/>
  <c r="D25" i="10"/>
  <c r="C25" i="10"/>
  <c r="B25" i="10"/>
  <c r="A25" i="10"/>
  <c r="F24" i="10"/>
  <c r="E24" i="10"/>
  <c r="D24" i="10"/>
  <c r="C24" i="10"/>
  <c r="B24" i="10"/>
  <c r="A24" i="10"/>
  <c r="F23" i="10"/>
  <c r="E23" i="10"/>
  <c r="D23" i="10"/>
  <c r="C23" i="10"/>
  <c r="B23" i="10"/>
  <c r="A23" i="10"/>
  <c r="F22" i="10"/>
  <c r="E22" i="10"/>
  <c r="D22" i="10"/>
  <c r="C22" i="10"/>
  <c r="B22" i="10"/>
  <c r="A22" i="10"/>
  <c r="F21" i="10"/>
  <c r="E21" i="10"/>
  <c r="D21" i="10"/>
  <c r="C21" i="10"/>
  <c r="B21" i="10"/>
  <c r="A21" i="10"/>
  <c r="F20" i="10"/>
  <c r="E20" i="10"/>
  <c r="D20" i="10"/>
  <c r="C20" i="10"/>
  <c r="B20" i="10"/>
  <c r="A20" i="10"/>
  <c r="F19" i="10"/>
  <c r="E19" i="10"/>
  <c r="D19" i="10"/>
  <c r="C19" i="10"/>
  <c r="B19" i="10"/>
  <c r="A19" i="10"/>
  <c r="F18" i="10"/>
  <c r="E18" i="10"/>
  <c r="D18" i="10"/>
  <c r="C18" i="10"/>
  <c r="B18" i="10"/>
  <c r="A18" i="10"/>
  <c r="F17" i="10"/>
  <c r="E17" i="10"/>
  <c r="D17" i="10"/>
  <c r="C17" i="10"/>
  <c r="B17" i="10"/>
  <c r="A17" i="10"/>
  <c r="F16" i="10"/>
  <c r="E16" i="10"/>
  <c r="D16" i="10"/>
  <c r="C16" i="10"/>
  <c r="B16" i="10"/>
  <c r="A16" i="10"/>
  <c r="F15" i="10"/>
  <c r="E15" i="10"/>
  <c r="D15" i="10"/>
  <c r="C15" i="10"/>
  <c r="B15" i="10"/>
  <c r="A15" i="10"/>
  <c r="F14" i="10"/>
  <c r="E14" i="10"/>
  <c r="D14" i="10"/>
  <c r="C14" i="10"/>
  <c r="B14" i="10"/>
  <c r="A14" i="10"/>
  <c r="F13" i="10"/>
  <c r="E13" i="10"/>
  <c r="D13" i="10"/>
  <c r="C13" i="10"/>
  <c r="B13" i="10"/>
  <c r="A13" i="10"/>
  <c r="F12" i="10"/>
  <c r="E12" i="10"/>
  <c r="D12" i="10"/>
  <c r="C12" i="10"/>
  <c r="B12" i="10"/>
  <c r="A12" i="10"/>
  <c r="F11" i="10"/>
  <c r="E11" i="10"/>
  <c r="D11" i="10"/>
  <c r="C11" i="10"/>
  <c r="B11" i="10"/>
  <c r="A11" i="10"/>
  <c r="F10" i="10"/>
  <c r="E10" i="10"/>
  <c r="D10" i="10"/>
  <c r="C10" i="10"/>
  <c r="B10" i="10"/>
  <c r="A10" i="10"/>
  <c r="F9" i="10"/>
  <c r="E9" i="10"/>
  <c r="D9" i="10"/>
  <c r="C9" i="10"/>
  <c r="B9" i="10"/>
  <c r="A9" i="10"/>
  <c r="F8" i="10"/>
  <c r="E8" i="10"/>
  <c r="D8" i="10"/>
  <c r="C8" i="10"/>
  <c r="B8" i="10"/>
  <c r="A8" i="10"/>
  <c r="F7" i="10"/>
  <c r="E7" i="10"/>
  <c r="D7" i="10"/>
  <c r="C7" i="10"/>
  <c r="B7" i="10"/>
  <c r="A7" i="10"/>
  <c r="F6" i="10"/>
  <c r="E6" i="10"/>
  <c r="D6" i="10"/>
  <c r="C6" i="10"/>
  <c r="B6" i="10"/>
  <c r="A6" i="10"/>
  <c r="F5" i="10"/>
  <c r="E5" i="10"/>
  <c r="D5" i="10"/>
  <c r="C5" i="10"/>
  <c r="B5" i="10"/>
  <c r="A5" i="10"/>
  <c r="F4" i="10"/>
  <c r="E4" i="10"/>
  <c r="D4" i="10"/>
  <c r="F3" i="10"/>
  <c r="E3" i="10"/>
  <c r="D3" i="10"/>
  <c r="C4" i="10"/>
  <c r="B4" i="10"/>
  <c r="A4" i="10"/>
  <c r="B3" i="10"/>
  <c r="A3" i="10"/>
  <c r="B2" i="10"/>
  <c r="A2" i="10"/>
  <c r="F204" i="9" l="1"/>
  <c r="E204" i="9"/>
  <c r="D204" i="9"/>
  <c r="C204" i="9"/>
  <c r="B204" i="9"/>
  <c r="A204" i="9"/>
  <c r="F203" i="9"/>
  <c r="E203" i="9"/>
  <c r="D203" i="9"/>
  <c r="C203" i="9"/>
  <c r="B203" i="9"/>
  <c r="A203" i="9"/>
  <c r="F202" i="9"/>
  <c r="E202" i="9"/>
  <c r="D202" i="9"/>
  <c r="C202" i="9"/>
  <c r="B202" i="9"/>
  <c r="A202" i="9"/>
  <c r="F201" i="9"/>
  <c r="E201" i="9"/>
  <c r="D201" i="9"/>
  <c r="C201" i="9"/>
  <c r="B201" i="9"/>
  <c r="A201" i="9"/>
  <c r="F200" i="9"/>
  <c r="E200" i="9"/>
  <c r="D200" i="9"/>
  <c r="C200" i="9"/>
  <c r="B200" i="9"/>
  <c r="A200" i="9"/>
  <c r="F199" i="9"/>
  <c r="E199" i="9"/>
  <c r="D199" i="9"/>
  <c r="C199" i="9"/>
  <c r="B199" i="9"/>
  <c r="A199" i="9"/>
  <c r="F198" i="9"/>
  <c r="E198" i="9"/>
  <c r="D198" i="9"/>
  <c r="C198" i="9"/>
  <c r="B198" i="9"/>
  <c r="A198" i="9"/>
  <c r="F197" i="9"/>
  <c r="E197" i="9"/>
  <c r="D197" i="9"/>
  <c r="C197" i="9"/>
  <c r="B197" i="9"/>
  <c r="A197" i="9"/>
  <c r="F196" i="9"/>
  <c r="E196" i="9"/>
  <c r="D196" i="9"/>
  <c r="C196" i="9"/>
  <c r="B196" i="9"/>
  <c r="A196" i="9"/>
  <c r="F195" i="9"/>
  <c r="E195" i="9"/>
  <c r="D195" i="9"/>
  <c r="C195" i="9"/>
  <c r="B195" i="9"/>
  <c r="A195" i="9"/>
  <c r="F194" i="9"/>
  <c r="E194" i="9"/>
  <c r="D194" i="9"/>
  <c r="C194" i="9"/>
  <c r="B194" i="9"/>
  <c r="A194" i="9"/>
  <c r="F193" i="9"/>
  <c r="E193" i="9"/>
  <c r="D193" i="9"/>
  <c r="C193" i="9"/>
  <c r="B193" i="9"/>
  <c r="A193" i="9"/>
  <c r="F192" i="9"/>
  <c r="E192" i="9"/>
  <c r="D192" i="9"/>
  <c r="C192" i="9"/>
  <c r="B192" i="9"/>
  <c r="A192" i="9"/>
  <c r="F191" i="9"/>
  <c r="E191" i="9"/>
  <c r="D191" i="9"/>
  <c r="C191" i="9"/>
  <c r="B191" i="9"/>
  <c r="A191" i="9"/>
  <c r="F190" i="9"/>
  <c r="E190" i="9"/>
  <c r="D190" i="9"/>
  <c r="C190" i="9"/>
  <c r="B190" i="9"/>
  <c r="A190" i="9"/>
  <c r="F189" i="9"/>
  <c r="E189" i="9"/>
  <c r="D189" i="9"/>
  <c r="C189" i="9"/>
  <c r="B189" i="9"/>
  <c r="A189" i="9"/>
  <c r="F188" i="9"/>
  <c r="E188" i="9"/>
  <c r="D188" i="9"/>
  <c r="C188" i="9"/>
  <c r="B188" i="9"/>
  <c r="A188" i="9"/>
  <c r="F187" i="9"/>
  <c r="E187" i="9"/>
  <c r="D187" i="9"/>
  <c r="C187" i="9"/>
  <c r="B187" i="9"/>
  <c r="A187" i="9"/>
  <c r="F186" i="9"/>
  <c r="E186" i="9"/>
  <c r="D186" i="9"/>
  <c r="C186" i="9"/>
  <c r="B186" i="9"/>
  <c r="A186" i="9"/>
  <c r="F185" i="9"/>
  <c r="E185" i="9"/>
  <c r="D185" i="9"/>
  <c r="C185" i="9"/>
  <c r="B185" i="9"/>
  <c r="A185" i="9"/>
  <c r="F184" i="9"/>
  <c r="E184" i="9"/>
  <c r="D184" i="9"/>
  <c r="C184" i="9"/>
  <c r="B184" i="9"/>
  <c r="A184" i="9"/>
  <c r="F183" i="9"/>
  <c r="E183" i="9"/>
  <c r="D183" i="9"/>
  <c r="C183" i="9"/>
  <c r="B183" i="9"/>
  <c r="A183" i="9"/>
  <c r="F182" i="9"/>
  <c r="E182" i="9"/>
  <c r="D182" i="9"/>
  <c r="C182" i="9"/>
  <c r="B182" i="9"/>
  <c r="A182" i="9"/>
  <c r="F181" i="9"/>
  <c r="E181" i="9"/>
  <c r="D181" i="9"/>
  <c r="C181" i="9"/>
  <c r="B181" i="9"/>
  <c r="A181" i="9"/>
  <c r="F180" i="9"/>
  <c r="E180" i="9"/>
  <c r="D180" i="9"/>
  <c r="C180" i="9"/>
  <c r="B180" i="9"/>
  <c r="A180" i="9"/>
  <c r="F179" i="9"/>
  <c r="E179" i="9"/>
  <c r="D179" i="9"/>
  <c r="C179" i="9"/>
  <c r="B179" i="9"/>
  <c r="A179" i="9"/>
  <c r="F178" i="9"/>
  <c r="E178" i="9"/>
  <c r="D178" i="9"/>
  <c r="C178" i="9"/>
  <c r="B178" i="9"/>
  <c r="A178" i="9"/>
  <c r="F177" i="9"/>
  <c r="E177" i="9"/>
  <c r="D177" i="9"/>
  <c r="C177" i="9"/>
  <c r="B177" i="9"/>
  <c r="A177" i="9"/>
  <c r="F176" i="9"/>
  <c r="E176" i="9"/>
  <c r="D176" i="9"/>
  <c r="C176" i="9"/>
  <c r="B176" i="9"/>
  <c r="A176" i="9"/>
  <c r="F175" i="9"/>
  <c r="E175" i="9"/>
  <c r="D175" i="9"/>
  <c r="C175" i="9"/>
  <c r="B175" i="9"/>
  <c r="A175" i="9"/>
  <c r="F174" i="9"/>
  <c r="E174" i="9"/>
  <c r="D174" i="9"/>
  <c r="C174" i="9"/>
  <c r="B174" i="9"/>
  <c r="A174" i="9"/>
  <c r="F173" i="9"/>
  <c r="E173" i="9"/>
  <c r="D173" i="9"/>
  <c r="C173" i="9"/>
  <c r="B173" i="9"/>
  <c r="A173" i="9"/>
  <c r="F172" i="9"/>
  <c r="E172" i="9"/>
  <c r="D172" i="9"/>
  <c r="C172" i="9"/>
  <c r="B172" i="9"/>
  <c r="A172" i="9"/>
  <c r="F171" i="9"/>
  <c r="E171" i="9"/>
  <c r="D171" i="9"/>
  <c r="C171" i="9"/>
  <c r="B171" i="9"/>
  <c r="A171" i="9"/>
  <c r="F170" i="9"/>
  <c r="E170" i="9"/>
  <c r="D170" i="9"/>
  <c r="C170" i="9"/>
  <c r="B170" i="9"/>
  <c r="A170" i="9"/>
  <c r="F169" i="9"/>
  <c r="E169" i="9"/>
  <c r="D169" i="9"/>
  <c r="C169" i="9"/>
  <c r="B169" i="9"/>
  <c r="A169" i="9"/>
  <c r="F168" i="9"/>
  <c r="E168" i="9"/>
  <c r="D168" i="9"/>
  <c r="C168" i="9"/>
  <c r="B168" i="9"/>
  <c r="A168" i="9"/>
  <c r="F167" i="9"/>
  <c r="E167" i="9"/>
  <c r="D167" i="9"/>
  <c r="C167" i="9"/>
  <c r="B167" i="9"/>
  <c r="A167" i="9"/>
  <c r="F166" i="9"/>
  <c r="E166" i="9"/>
  <c r="D166" i="9"/>
  <c r="C166" i="9"/>
  <c r="B166" i="9"/>
  <c r="A166" i="9"/>
  <c r="F165" i="9"/>
  <c r="E165" i="9"/>
  <c r="D165" i="9"/>
  <c r="C165" i="9"/>
  <c r="B165" i="9"/>
  <c r="A165" i="9"/>
  <c r="F164" i="9"/>
  <c r="E164" i="9"/>
  <c r="D164" i="9"/>
  <c r="C164" i="9"/>
  <c r="B164" i="9"/>
  <c r="A164" i="9"/>
  <c r="F163" i="9"/>
  <c r="E163" i="9"/>
  <c r="D163" i="9"/>
  <c r="C163" i="9"/>
  <c r="B163" i="9"/>
  <c r="A163" i="9"/>
  <c r="F162" i="9"/>
  <c r="E162" i="9"/>
  <c r="D162" i="9"/>
  <c r="C162" i="9"/>
  <c r="B162" i="9"/>
  <c r="A162" i="9"/>
  <c r="F161" i="9"/>
  <c r="E161" i="9"/>
  <c r="D161" i="9"/>
  <c r="C161" i="9"/>
  <c r="B161" i="9"/>
  <c r="A161" i="9"/>
  <c r="F160" i="9"/>
  <c r="E160" i="9"/>
  <c r="D160" i="9"/>
  <c r="C160" i="9"/>
  <c r="B160" i="9"/>
  <c r="A160" i="9"/>
  <c r="F159" i="9"/>
  <c r="E159" i="9"/>
  <c r="D159" i="9"/>
  <c r="C159" i="9"/>
  <c r="B159" i="9"/>
  <c r="A159" i="9"/>
  <c r="F158" i="9"/>
  <c r="E158" i="9"/>
  <c r="D158" i="9"/>
  <c r="C158" i="9"/>
  <c r="B158" i="9"/>
  <c r="A158" i="9"/>
  <c r="F157" i="9"/>
  <c r="E157" i="9"/>
  <c r="D157" i="9"/>
  <c r="C157" i="9"/>
  <c r="B157" i="9"/>
  <c r="A157" i="9"/>
  <c r="F156" i="9"/>
  <c r="E156" i="9"/>
  <c r="D156" i="9"/>
  <c r="C156" i="9"/>
  <c r="B156" i="9"/>
  <c r="A156" i="9"/>
  <c r="F155" i="9"/>
  <c r="E155" i="9"/>
  <c r="D155" i="9"/>
  <c r="C155" i="9"/>
  <c r="B155" i="9"/>
  <c r="A155" i="9"/>
  <c r="F154" i="9"/>
  <c r="E154" i="9"/>
  <c r="D154" i="9"/>
  <c r="C154" i="9"/>
  <c r="B154" i="9"/>
  <c r="A154" i="9"/>
  <c r="F153" i="9"/>
  <c r="E153" i="9"/>
  <c r="D153" i="9"/>
  <c r="C153" i="9"/>
  <c r="B153" i="9"/>
  <c r="A153" i="9"/>
  <c r="F152" i="9"/>
  <c r="E152" i="9"/>
  <c r="D152" i="9"/>
  <c r="C152" i="9"/>
  <c r="B152" i="9"/>
  <c r="A152" i="9"/>
  <c r="F151" i="9"/>
  <c r="E151" i="9"/>
  <c r="D151" i="9"/>
  <c r="C151" i="9"/>
  <c r="B151" i="9"/>
  <c r="A151" i="9"/>
  <c r="F150" i="9"/>
  <c r="E150" i="9"/>
  <c r="D150" i="9"/>
  <c r="C150" i="9"/>
  <c r="B150" i="9"/>
  <c r="A150" i="9"/>
  <c r="F149" i="9"/>
  <c r="E149" i="9"/>
  <c r="D149" i="9"/>
  <c r="C149" i="9"/>
  <c r="B149" i="9"/>
  <c r="A149" i="9"/>
  <c r="F148" i="9"/>
  <c r="E148" i="9"/>
  <c r="D148" i="9"/>
  <c r="C148" i="9"/>
  <c r="B148" i="9"/>
  <c r="A148" i="9"/>
  <c r="F147" i="9"/>
  <c r="E147" i="9"/>
  <c r="D147" i="9"/>
  <c r="C147" i="9"/>
  <c r="B147" i="9"/>
  <c r="A147" i="9"/>
  <c r="F146" i="9"/>
  <c r="E146" i="9"/>
  <c r="D146" i="9"/>
  <c r="C146" i="9"/>
  <c r="B146" i="9"/>
  <c r="A146" i="9"/>
  <c r="F145" i="9"/>
  <c r="E145" i="9"/>
  <c r="D145" i="9"/>
  <c r="C145" i="9"/>
  <c r="B145" i="9"/>
  <c r="A145" i="9"/>
  <c r="F144" i="9"/>
  <c r="E144" i="9"/>
  <c r="D144" i="9"/>
  <c r="C144" i="9"/>
  <c r="B144" i="9"/>
  <c r="A144" i="9"/>
  <c r="F143" i="9"/>
  <c r="E143" i="9"/>
  <c r="D143" i="9"/>
  <c r="C143" i="9"/>
  <c r="B143" i="9"/>
  <c r="A143" i="9"/>
  <c r="F142" i="9"/>
  <c r="E142" i="9"/>
  <c r="D142" i="9"/>
  <c r="C142" i="9"/>
  <c r="B142" i="9"/>
  <c r="A142" i="9"/>
  <c r="F141" i="9"/>
  <c r="E141" i="9"/>
  <c r="D141" i="9"/>
  <c r="C141" i="9"/>
  <c r="B141" i="9"/>
  <c r="A141" i="9"/>
  <c r="F140" i="9"/>
  <c r="E140" i="9"/>
  <c r="D140" i="9"/>
  <c r="C140" i="9"/>
  <c r="B140" i="9"/>
  <c r="A140" i="9"/>
  <c r="F139" i="9"/>
  <c r="E139" i="9"/>
  <c r="D139" i="9"/>
  <c r="C139" i="9"/>
  <c r="B139" i="9"/>
  <c r="A139" i="9"/>
  <c r="F138" i="9"/>
  <c r="E138" i="9"/>
  <c r="D138" i="9"/>
  <c r="C138" i="9"/>
  <c r="B138" i="9"/>
  <c r="A138" i="9"/>
  <c r="F137" i="9"/>
  <c r="E137" i="9"/>
  <c r="D137" i="9"/>
  <c r="C137" i="9"/>
  <c r="B137" i="9"/>
  <c r="A137" i="9"/>
  <c r="F136" i="9"/>
  <c r="E136" i="9"/>
  <c r="D136" i="9"/>
  <c r="C136" i="9"/>
  <c r="B136" i="9"/>
  <c r="A136" i="9"/>
  <c r="F135" i="9"/>
  <c r="E135" i="9"/>
  <c r="D135" i="9"/>
  <c r="C135" i="9"/>
  <c r="B135" i="9"/>
  <c r="A135" i="9"/>
  <c r="F134" i="9"/>
  <c r="E134" i="9"/>
  <c r="D134" i="9"/>
  <c r="C134" i="9"/>
  <c r="B134" i="9"/>
  <c r="A134" i="9"/>
  <c r="F133" i="9"/>
  <c r="E133" i="9"/>
  <c r="D133" i="9"/>
  <c r="C133" i="9"/>
  <c r="B133" i="9"/>
  <c r="A133" i="9"/>
  <c r="F132" i="9"/>
  <c r="E132" i="9"/>
  <c r="D132" i="9"/>
  <c r="C132" i="9"/>
  <c r="B132" i="9"/>
  <c r="A132" i="9"/>
  <c r="F131" i="9"/>
  <c r="E131" i="9"/>
  <c r="D131" i="9"/>
  <c r="C131" i="9"/>
  <c r="B131" i="9"/>
  <c r="A131" i="9"/>
  <c r="F130" i="9"/>
  <c r="E130" i="9"/>
  <c r="D130" i="9"/>
  <c r="C130" i="9"/>
  <c r="B130" i="9"/>
  <c r="A130" i="9"/>
  <c r="F129" i="9"/>
  <c r="E129" i="9"/>
  <c r="D129" i="9"/>
  <c r="C129" i="9"/>
  <c r="B129" i="9"/>
  <c r="A129" i="9"/>
  <c r="F128" i="9"/>
  <c r="E128" i="9"/>
  <c r="D128" i="9"/>
  <c r="C128" i="9"/>
  <c r="B128" i="9"/>
  <c r="A128" i="9"/>
  <c r="F127" i="9"/>
  <c r="E127" i="9"/>
  <c r="D127" i="9"/>
  <c r="C127" i="9"/>
  <c r="B127" i="9"/>
  <c r="A127" i="9"/>
  <c r="F126" i="9"/>
  <c r="E126" i="9"/>
  <c r="D126" i="9"/>
  <c r="C126" i="9"/>
  <c r="B126" i="9"/>
  <c r="A126" i="9"/>
  <c r="F125" i="9"/>
  <c r="E125" i="9"/>
  <c r="D125" i="9"/>
  <c r="C125" i="9"/>
  <c r="B125" i="9"/>
  <c r="A125" i="9"/>
  <c r="F124" i="9"/>
  <c r="E124" i="9"/>
  <c r="D124" i="9"/>
  <c r="C124" i="9"/>
  <c r="B124" i="9"/>
  <c r="A124" i="9"/>
  <c r="F123" i="9"/>
  <c r="E123" i="9"/>
  <c r="D123" i="9"/>
  <c r="C123" i="9"/>
  <c r="B123" i="9"/>
  <c r="A123" i="9"/>
  <c r="F122" i="9"/>
  <c r="E122" i="9"/>
  <c r="D122" i="9"/>
  <c r="C122" i="9"/>
  <c r="B122" i="9"/>
  <c r="A122" i="9"/>
  <c r="F121" i="9"/>
  <c r="E121" i="9"/>
  <c r="D121" i="9"/>
  <c r="C121" i="9"/>
  <c r="B121" i="9"/>
  <c r="A121" i="9"/>
  <c r="F120" i="9"/>
  <c r="E120" i="9"/>
  <c r="D120" i="9"/>
  <c r="C120" i="9"/>
  <c r="B120" i="9"/>
  <c r="A120" i="9"/>
  <c r="F119" i="9"/>
  <c r="E119" i="9"/>
  <c r="D119" i="9"/>
  <c r="C119" i="9"/>
  <c r="B119" i="9"/>
  <c r="A119" i="9"/>
  <c r="F118" i="9"/>
  <c r="E118" i="9"/>
  <c r="D118" i="9"/>
  <c r="C118" i="9"/>
  <c r="B118" i="9"/>
  <c r="A118" i="9"/>
  <c r="F117" i="9"/>
  <c r="E117" i="9"/>
  <c r="D117" i="9"/>
  <c r="C117" i="9"/>
  <c r="B117" i="9"/>
  <c r="A117" i="9"/>
  <c r="F116" i="9"/>
  <c r="E116" i="9"/>
  <c r="D116" i="9"/>
  <c r="C116" i="9"/>
  <c r="B116" i="9"/>
  <c r="A116" i="9"/>
  <c r="F115" i="9"/>
  <c r="E115" i="9"/>
  <c r="D115" i="9"/>
  <c r="C115" i="9"/>
  <c r="B115" i="9"/>
  <c r="A115" i="9"/>
  <c r="F114" i="9"/>
  <c r="E114" i="9"/>
  <c r="D114" i="9"/>
  <c r="C114" i="9"/>
  <c r="B114" i="9"/>
  <c r="A114" i="9"/>
  <c r="F113" i="9"/>
  <c r="E113" i="9"/>
  <c r="D113" i="9"/>
  <c r="C113" i="9"/>
  <c r="B113" i="9"/>
  <c r="A113" i="9"/>
  <c r="F112" i="9"/>
  <c r="E112" i="9"/>
  <c r="D112" i="9"/>
  <c r="C112" i="9"/>
  <c r="B112" i="9"/>
  <c r="A112" i="9"/>
  <c r="F111" i="9"/>
  <c r="E111" i="9"/>
  <c r="D111" i="9"/>
  <c r="C111" i="9"/>
  <c r="B111" i="9"/>
  <c r="A111" i="9"/>
  <c r="F110" i="9"/>
  <c r="E110" i="9"/>
  <c r="D110" i="9"/>
  <c r="C110" i="9"/>
  <c r="B110" i="9"/>
  <c r="A110" i="9"/>
  <c r="F109" i="9"/>
  <c r="E109" i="9"/>
  <c r="D109" i="9"/>
  <c r="C109" i="9"/>
  <c r="B109" i="9"/>
  <c r="A109" i="9"/>
  <c r="F108" i="9"/>
  <c r="E108" i="9"/>
  <c r="D108" i="9"/>
  <c r="C108" i="9"/>
  <c r="B108" i="9"/>
  <c r="A108" i="9"/>
  <c r="F107" i="9"/>
  <c r="E107" i="9"/>
  <c r="D107" i="9"/>
  <c r="C107" i="9"/>
  <c r="B107" i="9"/>
  <c r="A107" i="9"/>
  <c r="F106" i="9"/>
  <c r="E106" i="9"/>
  <c r="D106" i="9"/>
  <c r="C106" i="9"/>
  <c r="B106" i="9"/>
  <c r="A106" i="9"/>
  <c r="F105" i="9"/>
  <c r="E105" i="9"/>
  <c r="D105" i="9"/>
  <c r="C105" i="9"/>
  <c r="B105" i="9"/>
  <c r="A105" i="9"/>
  <c r="F104" i="9"/>
  <c r="E104" i="9"/>
  <c r="D104" i="9"/>
  <c r="C104" i="9"/>
  <c r="B104" i="9"/>
  <c r="A104" i="9"/>
  <c r="F103" i="9"/>
  <c r="E103" i="9"/>
  <c r="D103" i="9"/>
  <c r="C103" i="9"/>
  <c r="B103" i="9"/>
  <c r="A103" i="9"/>
  <c r="F102" i="9"/>
  <c r="E102" i="9"/>
  <c r="D102" i="9"/>
  <c r="C102" i="9"/>
  <c r="B102" i="9"/>
  <c r="A102" i="9"/>
  <c r="F101" i="9"/>
  <c r="E101" i="9"/>
  <c r="D101" i="9"/>
  <c r="C101" i="9"/>
  <c r="B101" i="9"/>
  <c r="A101" i="9"/>
  <c r="F100" i="9"/>
  <c r="E100" i="9"/>
  <c r="D100" i="9"/>
  <c r="C100" i="9"/>
  <c r="B100" i="9"/>
  <c r="A100" i="9"/>
  <c r="F99" i="9"/>
  <c r="E99" i="9"/>
  <c r="D99" i="9"/>
  <c r="C99" i="9"/>
  <c r="B99" i="9"/>
  <c r="A99" i="9"/>
  <c r="F98" i="9"/>
  <c r="E98" i="9"/>
  <c r="D98" i="9"/>
  <c r="C98" i="9"/>
  <c r="B98" i="9"/>
  <c r="A98" i="9"/>
  <c r="F97" i="9"/>
  <c r="E97" i="9"/>
  <c r="D97" i="9"/>
  <c r="C97" i="9"/>
  <c r="B97" i="9"/>
  <c r="A97" i="9"/>
  <c r="F96" i="9"/>
  <c r="E96" i="9"/>
  <c r="D96" i="9"/>
  <c r="C96" i="9"/>
  <c r="B96" i="9"/>
  <c r="A96" i="9"/>
  <c r="F95" i="9"/>
  <c r="E95" i="9"/>
  <c r="D95" i="9"/>
  <c r="C95" i="9"/>
  <c r="B95" i="9"/>
  <c r="A95" i="9"/>
  <c r="F94" i="9"/>
  <c r="E94" i="9"/>
  <c r="D94" i="9"/>
  <c r="C94" i="9"/>
  <c r="B94" i="9"/>
  <c r="A94" i="9"/>
  <c r="F93" i="9"/>
  <c r="E93" i="9"/>
  <c r="D93" i="9"/>
  <c r="C93" i="9"/>
  <c r="B93" i="9"/>
  <c r="A93" i="9"/>
  <c r="F92" i="9"/>
  <c r="E92" i="9"/>
  <c r="D92" i="9"/>
  <c r="C92" i="9"/>
  <c r="B92" i="9"/>
  <c r="A92" i="9"/>
  <c r="F91" i="9"/>
  <c r="E91" i="9"/>
  <c r="D91" i="9"/>
  <c r="C91" i="9"/>
  <c r="B91" i="9"/>
  <c r="A91" i="9"/>
  <c r="F90" i="9"/>
  <c r="E90" i="9"/>
  <c r="D90" i="9"/>
  <c r="C90" i="9"/>
  <c r="B90" i="9"/>
  <c r="A90" i="9"/>
  <c r="F89" i="9"/>
  <c r="E89" i="9"/>
  <c r="D89" i="9"/>
  <c r="C89" i="9"/>
  <c r="B89" i="9"/>
  <c r="A89" i="9"/>
  <c r="F88" i="9"/>
  <c r="E88" i="9"/>
  <c r="D88" i="9"/>
  <c r="C88" i="9"/>
  <c r="B88" i="9"/>
  <c r="A88" i="9"/>
  <c r="F87" i="9"/>
  <c r="E87" i="9"/>
  <c r="D87" i="9"/>
  <c r="C87" i="9"/>
  <c r="B87" i="9"/>
  <c r="A87" i="9"/>
  <c r="F86" i="9"/>
  <c r="E86" i="9"/>
  <c r="D86" i="9"/>
  <c r="C86" i="9"/>
  <c r="B86" i="9"/>
  <c r="A86" i="9"/>
  <c r="F85" i="9"/>
  <c r="E85" i="9"/>
  <c r="D85" i="9"/>
  <c r="C85" i="9"/>
  <c r="B85" i="9"/>
  <c r="A85" i="9"/>
  <c r="F84" i="9"/>
  <c r="E84" i="9"/>
  <c r="D84" i="9"/>
  <c r="C84" i="9"/>
  <c r="B84" i="9"/>
  <c r="A84" i="9"/>
  <c r="F83" i="9"/>
  <c r="E83" i="9"/>
  <c r="D83" i="9"/>
  <c r="C83" i="9"/>
  <c r="B83" i="9"/>
  <c r="A83" i="9"/>
  <c r="F82" i="9"/>
  <c r="E82" i="9"/>
  <c r="D82" i="9"/>
  <c r="C82" i="9"/>
  <c r="B82" i="9"/>
  <c r="A82" i="9"/>
  <c r="F81" i="9"/>
  <c r="E81" i="9"/>
  <c r="D81" i="9"/>
  <c r="C81" i="9"/>
  <c r="B81" i="9"/>
  <c r="A81" i="9"/>
  <c r="F80" i="9"/>
  <c r="E80" i="9"/>
  <c r="D80" i="9"/>
  <c r="C80" i="9"/>
  <c r="B80" i="9"/>
  <c r="A80" i="9"/>
  <c r="F79" i="9"/>
  <c r="E79" i="9"/>
  <c r="D79" i="9"/>
  <c r="C79" i="9"/>
  <c r="B79" i="9"/>
  <c r="A79" i="9"/>
  <c r="F78" i="9"/>
  <c r="E78" i="9"/>
  <c r="D78" i="9"/>
  <c r="C78" i="9"/>
  <c r="B78" i="9"/>
  <c r="A78" i="9"/>
  <c r="F77" i="9"/>
  <c r="E77" i="9"/>
  <c r="D77" i="9"/>
  <c r="C77" i="9"/>
  <c r="B77" i="9"/>
  <c r="A77" i="9"/>
  <c r="F76" i="9"/>
  <c r="E76" i="9"/>
  <c r="D76" i="9"/>
  <c r="C76" i="9"/>
  <c r="B76" i="9"/>
  <c r="A76" i="9"/>
  <c r="F75" i="9"/>
  <c r="E75" i="9"/>
  <c r="D75" i="9"/>
  <c r="C75" i="9"/>
  <c r="B75" i="9"/>
  <c r="A75" i="9"/>
  <c r="F74" i="9"/>
  <c r="E74" i="9"/>
  <c r="D74" i="9"/>
  <c r="C74" i="9"/>
  <c r="B74" i="9"/>
  <c r="A74" i="9"/>
  <c r="F73" i="9"/>
  <c r="E73" i="9"/>
  <c r="D73" i="9"/>
  <c r="C73" i="9"/>
  <c r="B73" i="9"/>
  <c r="A73" i="9"/>
  <c r="F72" i="9"/>
  <c r="E72" i="9"/>
  <c r="D72" i="9"/>
  <c r="C72" i="9"/>
  <c r="B72" i="9"/>
  <c r="A72" i="9"/>
  <c r="F71" i="9"/>
  <c r="E71" i="9"/>
  <c r="D71" i="9"/>
  <c r="C71" i="9"/>
  <c r="B71" i="9"/>
  <c r="A71" i="9"/>
  <c r="F70" i="9"/>
  <c r="E70" i="9"/>
  <c r="D70" i="9"/>
  <c r="C70" i="9"/>
  <c r="B70" i="9"/>
  <c r="A70" i="9"/>
  <c r="F69" i="9"/>
  <c r="E69" i="9"/>
  <c r="D69" i="9"/>
  <c r="C69" i="9"/>
  <c r="B69" i="9"/>
  <c r="A69" i="9"/>
  <c r="F68" i="9"/>
  <c r="E68" i="9"/>
  <c r="D68" i="9"/>
  <c r="C68" i="9"/>
  <c r="B68" i="9"/>
  <c r="A68" i="9"/>
  <c r="F67" i="9"/>
  <c r="E67" i="9"/>
  <c r="D67" i="9"/>
  <c r="C67" i="9"/>
  <c r="B67" i="9"/>
  <c r="A67" i="9"/>
  <c r="F66" i="9"/>
  <c r="E66" i="9"/>
  <c r="D66" i="9"/>
  <c r="C66" i="9"/>
  <c r="B66" i="9"/>
  <c r="A66" i="9"/>
  <c r="F65" i="9"/>
  <c r="E65" i="9"/>
  <c r="D65" i="9"/>
  <c r="C65" i="9"/>
  <c r="B65" i="9"/>
  <c r="A65" i="9"/>
  <c r="F64" i="9"/>
  <c r="E64" i="9"/>
  <c r="D64" i="9"/>
  <c r="C64" i="9"/>
  <c r="B64" i="9"/>
  <c r="A64" i="9"/>
  <c r="F63" i="9"/>
  <c r="E63" i="9"/>
  <c r="D63" i="9"/>
  <c r="C63" i="9"/>
  <c r="B63" i="9"/>
  <c r="A63" i="9"/>
  <c r="F62" i="9"/>
  <c r="E62" i="9"/>
  <c r="D62" i="9"/>
  <c r="C62" i="9"/>
  <c r="B62" i="9"/>
  <c r="A62" i="9"/>
  <c r="F61" i="9"/>
  <c r="E61" i="9"/>
  <c r="D61" i="9"/>
  <c r="C61" i="9"/>
  <c r="B61" i="9"/>
  <c r="A61" i="9"/>
  <c r="F60" i="9"/>
  <c r="E60" i="9"/>
  <c r="D60" i="9"/>
  <c r="C60" i="9"/>
  <c r="B60" i="9"/>
  <c r="A60" i="9"/>
  <c r="F59" i="9"/>
  <c r="E59" i="9"/>
  <c r="D59" i="9"/>
  <c r="C59" i="9"/>
  <c r="B59" i="9"/>
  <c r="A59" i="9"/>
  <c r="F58" i="9"/>
  <c r="E58" i="9"/>
  <c r="D58" i="9"/>
  <c r="C58" i="9"/>
  <c r="B58" i="9"/>
  <c r="A58" i="9"/>
  <c r="F57" i="9"/>
  <c r="E57" i="9"/>
  <c r="D57" i="9"/>
  <c r="C57" i="9"/>
  <c r="B57" i="9"/>
  <c r="A57" i="9"/>
  <c r="F56" i="9"/>
  <c r="E56" i="9"/>
  <c r="D56" i="9"/>
  <c r="C56" i="9"/>
  <c r="B56" i="9"/>
  <c r="A56" i="9"/>
  <c r="F55" i="9"/>
  <c r="E55" i="9"/>
  <c r="D55" i="9"/>
  <c r="C55" i="9"/>
  <c r="B55" i="9"/>
  <c r="A55" i="9"/>
  <c r="F54" i="9"/>
  <c r="E54" i="9"/>
  <c r="D54" i="9"/>
  <c r="C54" i="9"/>
  <c r="B54" i="9"/>
  <c r="A54" i="9"/>
  <c r="F53" i="9"/>
  <c r="E53" i="9"/>
  <c r="D53" i="9"/>
  <c r="C53" i="9"/>
  <c r="B53" i="9"/>
  <c r="A53" i="9"/>
  <c r="F52" i="9"/>
  <c r="E52" i="9"/>
  <c r="D52" i="9"/>
  <c r="C52" i="9"/>
  <c r="B52" i="9"/>
  <c r="A52" i="9"/>
  <c r="F51" i="9"/>
  <c r="E51" i="9"/>
  <c r="D51" i="9"/>
  <c r="C51" i="9"/>
  <c r="B51" i="9"/>
  <c r="A51" i="9"/>
  <c r="F50" i="9"/>
  <c r="E50" i="9"/>
  <c r="D50" i="9"/>
  <c r="C50" i="9"/>
  <c r="B50" i="9"/>
  <c r="A50" i="9"/>
  <c r="F49" i="9"/>
  <c r="E49" i="9"/>
  <c r="D49" i="9"/>
  <c r="C49" i="9"/>
  <c r="B49" i="9"/>
  <c r="A49" i="9"/>
  <c r="F48" i="9"/>
  <c r="E48" i="9"/>
  <c r="D48" i="9"/>
  <c r="C48" i="9"/>
  <c r="B48" i="9"/>
  <c r="A48" i="9"/>
  <c r="F47" i="9"/>
  <c r="E47" i="9"/>
  <c r="D47" i="9"/>
  <c r="C47" i="9"/>
  <c r="B47" i="9"/>
  <c r="A47" i="9"/>
  <c r="F46" i="9"/>
  <c r="E46" i="9"/>
  <c r="D46" i="9"/>
  <c r="C46" i="9"/>
  <c r="B46" i="9"/>
  <c r="A46" i="9"/>
  <c r="F45" i="9"/>
  <c r="E45" i="9"/>
  <c r="D45" i="9"/>
  <c r="C45" i="9"/>
  <c r="B45" i="9"/>
  <c r="A45" i="9"/>
  <c r="F44" i="9"/>
  <c r="E44" i="9"/>
  <c r="D44" i="9"/>
  <c r="C44" i="9"/>
  <c r="B44" i="9"/>
  <c r="A44" i="9"/>
  <c r="F43" i="9"/>
  <c r="E43" i="9"/>
  <c r="D43" i="9"/>
  <c r="C43" i="9"/>
  <c r="B43" i="9"/>
  <c r="A43" i="9"/>
  <c r="F42" i="9"/>
  <c r="E42" i="9"/>
  <c r="D42" i="9"/>
  <c r="C42" i="9"/>
  <c r="B42" i="9"/>
  <c r="A42" i="9"/>
  <c r="F41" i="9"/>
  <c r="E41" i="9"/>
  <c r="D41" i="9"/>
  <c r="C41" i="9"/>
  <c r="B41" i="9"/>
  <c r="A41" i="9"/>
  <c r="F40" i="9"/>
  <c r="E40" i="9"/>
  <c r="D40" i="9"/>
  <c r="C40" i="9"/>
  <c r="B40" i="9"/>
  <c r="A40" i="9"/>
  <c r="F39" i="9"/>
  <c r="E39" i="9"/>
  <c r="D39" i="9"/>
  <c r="C39" i="9"/>
  <c r="B39" i="9"/>
  <c r="A39" i="9"/>
  <c r="F38" i="9"/>
  <c r="E38" i="9"/>
  <c r="D38" i="9"/>
  <c r="C38" i="9"/>
  <c r="B38" i="9"/>
  <c r="A38" i="9"/>
  <c r="F37" i="9"/>
  <c r="E37" i="9"/>
  <c r="D37" i="9"/>
  <c r="C37" i="9"/>
  <c r="B37" i="9"/>
  <c r="A37" i="9"/>
  <c r="F36" i="9"/>
  <c r="E36" i="9"/>
  <c r="D36" i="9"/>
  <c r="C36" i="9"/>
  <c r="B36" i="9"/>
  <c r="A36" i="9"/>
  <c r="F35" i="9"/>
  <c r="E35" i="9"/>
  <c r="D35" i="9"/>
  <c r="C35" i="9"/>
  <c r="B35" i="9"/>
  <c r="A35" i="9"/>
  <c r="F34" i="9"/>
  <c r="E34" i="9"/>
  <c r="D34" i="9"/>
  <c r="C34" i="9"/>
  <c r="B34" i="9"/>
  <c r="A34" i="9"/>
  <c r="F33" i="9"/>
  <c r="E33" i="9"/>
  <c r="D33" i="9"/>
  <c r="C33" i="9"/>
  <c r="B33" i="9"/>
  <c r="A33" i="9"/>
  <c r="F32" i="9"/>
  <c r="E32" i="9"/>
  <c r="D32" i="9"/>
  <c r="C32" i="9"/>
  <c r="B32" i="9"/>
  <c r="A32" i="9"/>
  <c r="F31" i="9"/>
  <c r="E31" i="9"/>
  <c r="D31" i="9"/>
  <c r="C31" i="9"/>
  <c r="B31" i="9"/>
  <c r="A31" i="9"/>
  <c r="F30" i="9"/>
  <c r="E30" i="9"/>
  <c r="D30" i="9"/>
  <c r="C30" i="9"/>
  <c r="B30" i="9"/>
  <c r="A30" i="9"/>
  <c r="F29" i="9"/>
  <c r="E29" i="9"/>
  <c r="D29" i="9"/>
  <c r="C29" i="9"/>
  <c r="B29" i="9"/>
  <c r="A29" i="9"/>
  <c r="F28" i="9"/>
  <c r="E28" i="9"/>
  <c r="D28" i="9"/>
  <c r="C28" i="9"/>
  <c r="B28" i="9"/>
  <c r="A28" i="9"/>
  <c r="F27" i="9"/>
  <c r="E27" i="9"/>
  <c r="D27" i="9"/>
  <c r="C27" i="9"/>
  <c r="B27" i="9"/>
  <c r="A27" i="9"/>
  <c r="F26" i="9"/>
  <c r="E26" i="9"/>
  <c r="D26" i="9"/>
  <c r="C26" i="9"/>
  <c r="B26" i="9"/>
  <c r="A26" i="9"/>
  <c r="F25" i="9"/>
  <c r="E25" i="9"/>
  <c r="D25" i="9"/>
  <c r="C25" i="9"/>
  <c r="B25" i="9"/>
  <c r="A25" i="9"/>
  <c r="F24" i="9"/>
  <c r="E24" i="9"/>
  <c r="D24" i="9"/>
  <c r="C24" i="9"/>
  <c r="B24" i="9"/>
  <c r="A24" i="9"/>
  <c r="F23" i="9"/>
  <c r="E23" i="9"/>
  <c r="D23" i="9"/>
  <c r="C23" i="9"/>
  <c r="B23" i="9"/>
  <c r="A23" i="9"/>
  <c r="F22" i="9"/>
  <c r="E22" i="9"/>
  <c r="D22" i="9"/>
  <c r="C22" i="9"/>
  <c r="B22" i="9"/>
  <c r="A22" i="9"/>
  <c r="F21" i="9"/>
  <c r="E21" i="9"/>
  <c r="D21" i="9"/>
  <c r="C21" i="9"/>
  <c r="B21" i="9"/>
  <c r="A21" i="9"/>
  <c r="F20" i="9"/>
  <c r="E20" i="9"/>
  <c r="D20" i="9"/>
  <c r="C20" i="9"/>
  <c r="B20" i="9"/>
  <c r="A20" i="9"/>
  <c r="F19" i="9"/>
  <c r="E19" i="9"/>
  <c r="D19" i="9"/>
  <c r="C19" i="9"/>
  <c r="B19" i="9"/>
  <c r="A19" i="9"/>
  <c r="F18" i="9"/>
  <c r="E18" i="9"/>
  <c r="D18" i="9"/>
  <c r="C18" i="9"/>
  <c r="B18" i="9"/>
  <c r="A18" i="9"/>
  <c r="F17" i="9"/>
  <c r="E17" i="9"/>
  <c r="D17" i="9"/>
  <c r="C17" i="9"/>
  <c r="B17" i="9"/>
  <c r="A17" i="9"/>
  <c r="F16" i="9"/>
  <c r="E16" i="9"/>
  <c r="D16" i="9"/>
  <c r="C16" i="9"/>
  <c r="B16" i="9"/>
  <c r="A16" i="9"/>
  <c r="F15" i="9"/>
  <c r="E15" i="9"/>
  <c r="D15" i="9"/>
  <c r="C15" i="9"/>
  <c r="B15" i="9"/>
  <c r="A15" i="9"/>
  <c r="F14" i="9"/>
  <c r="E14" i="9"/>
  <c r="D14" i="9"/>
  <c r="C14" i="9"/>
  <c r="B14" i="9"/>
  <c r="A14" i="9"/>
  <c r="F13" i="9"/>
  <c r="E13" i="9"/>
  <c r="D13" i="9"/>
  <c r="C13" i="9"/>
  <c r="B13" i="9"/>
  <c r="A13" i="9"/>
  <c r="F12" i="9"/>
  <c r="E12" i="9"/>
  <c r="D12" i="9"/>
  <c r="C12" i="9"/>
  <c r="B12" i="9"/>
  <c r="A12" i="9"/>
  <c r="F11" i="9"/>
  <c r="E11" i="9"/>
  <c r="D11" i="9"/>
  <c r="C11" i="9"/>
  <c r="B11" i="9"/>
  <c r="A11" i="9"/>
  <c r="F10" i="9"/>
  <c r="E10" i="9"/>
  <c r="D10" i="9"/>
  <c r="C10" i="9"/>
  <c r="B10" i="9"/>
  <c r="A10" i="9"/>
  <c r="F9" i="9"/>
  <c r="E9" i="9"/>
  <c r="D9" i="9"/>
  <c r="C9" i="9"/>
  <c r="B9" i="9"/>
  <c r="A9" i="9"/>
  <c r="F8" i="9"/>
  <c r="E8" i="9"/>
  <c r="D8" i="9"/>
  <c r="C8" i="9"/>
  <c r="B8" i="9"/>
  <c r="A8" i="9"/>
  <c r="F7" i="9"/>
  <c r="E7" i="9"/>
  <c r="D7" i="9"/>
  <c r="C7" i="9"/>
  <c r="B7" i="9"/>
  <c r="A7" i="9"/>
  <c r="F6" i="9"/>
  <c r="E6" i="9"/>
  <c r="D6" i="9"/>
  <c r="C6" i="9"/>
  <c r="B6" i="9"/>
  <c r="A6" i="9"/>
  <c r="F5" i="9"/>
  <c r="E5" i="9"/>
  <c r="D5" i="9"/>
  <c r="C5" i="9"/>
  <c r="B5" i="9"/>
  <c r="A5" i="9"/>
  <c r="F4" i="9"/>
  <c r="E4" i="9"/>
  <c r="D4" i="9"/>
  <c r="F3" i="9"/>
  <c r="E3" i="9"/>
  <c r="D3" i="9"/>
  <c r="C4" i="9"/>
  <c r="B4" i="9"/>
  <c r="A4" i="9"/>
  <c r="A3" i="9"/>
  <c r="C2" i="9"/>
  <c r="B2" i="9"/>
  <c r="A2" i="9"/>
</calcChain>
</file>

<file path=xl/sharedStrings.xml><?xml version="1.0" encoding="utf-8"?>
<sst xmlns="http://schemas.openxmlformats.org/spreadsheetml/2006/main" count="1958" uniqueCount="284">
  <si>
    <t>Excelfile: WWAQ_SSP2_modelinput_web.xlsx</t>
  </si>
  <si>
    <t>This excel file contains the model output of the scenarios for sanitation and wastewater treatment for SSP1</t>
  </si>
  <si>
    <t>This data can be used for the WWQA project</t>
  </si>
  <si>
    <t xml:space="preserve">The files are based on </t>
  </si>
  <si>
    <t xml:space="preserve">-  the JMP data , which was downloaded from https://washdata.org/data, downloaded 19 August 2019. </t>
  </si>
  <si>
    <t>- EEA data</t>
  </si>
  <si>
    <t>- UN data</t>
  </si>
  <si>
    <t xml:space="preserve">As many data sources are a result of underlying studies with different definitions, several adaptations were needed to get a full database. </t>
  </si>
  <si>
    <t xml:space="preserve">Countries with all missing data were added based on regional characteristics. </t>
  </si>
  <si>
    <t xml:space="preserve">We are currently preparing a scientific article that describes the data. </t>
  </si>
  <si>
    <t xml:space="preserve">In that article, more detail about the data sources,  adaptations and scenario building will be provided. </t>
  </si>
  <si>
    <t xml:space="preserve">You can use this dataset for now only for the WWQA project. You will have to refer to our article. You can submit your results using the database for publication after our article is submitted to a journal. </t>
  </si>
  <si>
    <t>Peter van Puijenbroek, Nynke Hofstra et al are writing this article.</t>
  </si>
  <si>
    <t>When you use this dataset, please inform Peter.vanPuijenbroek@pbl.nl and Nynke.Hofstra@wur.nl that you are using it.</t>
  </si>
  <si>
    <t>Overall data availability is all SSPs, 10 year time steps for the period 2010 - 2100 in general for countries and separated for urban an rural population. In case you require more data than available in this file, please make a request for more data to Peter.vanPuijenbroek@wur.nl.</t>
  </si>
  <si>
    <t xml:space="preserve">In a previous study only sewerage connections were included. </t>
  </si>
  <si>
    <t xml:space="preserve">Although this database is worked out in more detail, the method is similar to the previous study: </t>
  </si>
  <si>
    <t>Puijenbroek, P. J. T. M., A. H. W. Beusen, and A. F. Bouwman. 2019. Global nitrogen and phosphorus in urban waste water based on the Shared Socio-economic pathways. Journal of Environmental Management 231:446-456.</t>
  </si>
  <si>
    <t xml:space="preserve">Sheets: </t>
  </si>
  <si>
    <t>unop</t>
  </si>
  <si>
    <t>country</t>
  </si>
  <si>
    <t>Unimproved sanitation including open defecation</t>
  </si>
  <si>
    <t>latr</t>
  </si>
  <si>
    <t>Pit latrines</t>
  </si>
  <si>
    <t>sept</t>
  </si>
  <si>
    <t>Septic tanks</t>
  </si>
  <si>
    <t>sewr</t>
  </si>
  <si>
    <t>Sewer connection</t>
  </si>
  <si>
    <t>prim</t>
  </si>
  <si>
    <t>Primary treatment</t>
  </si>
  <si>
    <t>sec</t>
  </si>
  <si>
    <t>Secondary treatment</t>
  </si>
  <si>
    <t>tert</t>
  </si>
  <si>
    <t>Tertiary treatment</t>
  </si>
  <si>
    <t>quat</t>
  </si>
  <si>
    <t>Quaternary treatment</t>
  </si>
  <si>
    <t>All units are in % of:</t>
  </si>
  <si>
    <t>- total population</t>
  </si>
  <si>
    <t>GDP</t>
  </si>
  <si>
    <t>GDP PPP per capita</t>
  </si>
  <si>
    <t>popnum</t>
  </si>
  <si>
    <t>total population (1000)</t>
  </si>
  <si>
    <t>popurb</t>
  </si>
  <si>
    <t>urban population as fraction of total population</t>
  </si>
  <si>
    <t>#</t>
  </si>
  <si>
    <t>M: Unimproved and open defecation</t>
  </si>
  <si>
    <t>SSP2</t>
  </si>
  <si>
    <t>unim2010</t>
  </si>
  <si>
    <t>unop2050</t>
  </si>
  <si>
    <t>unop2100</t>
  </si>
  <si>
    <t>ISO-CODE</t>
  </si>
  <si>
    <t>Country</t>
  </si>
  <si>
    <t>Image region</t>
  </si>
  <si>
    <t xml:space="preserve">Afghanistan                                </t>
  </si>
  <si>
    <t xml:space="preserve">Albania                                         </t>
  </si>
  <si>
    <t xml:space="preserve">Algeria                      </t>
  </si>
  <si>
    <t xml:space="preserve">American Samoa                          </t>
  </si>
  <si>
    <t xml:space="preserve">Andorra                                     </t>
  </si>
  <si>
    <t xml:space="preserve">Angola                                          </t>
  </si>
  <si>
    <t>Azerbaijan</t>
  </si>
  <si>
    <t>Argentina</t>
  </si>
  <si>
    <t xml:space="preserve">Australia                               </t>
  </si>
  <si>
    <t xml:space="preserve">Austria                                         </t>
  </si>
  <si>
    <t xml:space="preserve">Bahamas                                 </t>
  </si>
  <si>
    <t xml:space="preserve">Bahrain                                            </t>
  </si>
  <si>
    <t>Bangladesh</t>
  </si>
  <si>
    <t xml:space="preserve">Armenia                                         </t>
  </si>
  <si>
    <t xml:space="preserve">Barbados                                </t>
  </si>
  <si>
    <t xml:space="preserve">Belgium                                          </t>
  </si>
  <si>
    <t xml:space="preserve">Bhutan                                           </t>
  </si>
  <si>
    <t>Bolivia</t>
  </si>
  <si>
    <t xml:space="preserve">Bosnia and Herzegovina                          </t>
  </si>
  <si>
    <t xml:space="preserve">Botswana                                        </t>
  </si>
  <si>
    <t xml:space="preserve">Brazil                               </t>
  </si>
  <si>
    <t xml:space="preserve">Belize                                  </t>
  </si>
  <si>
    <t xml:space="preserve">Solomon Islands                         </t>
  </si>
  <si>
    <t xml:space="preserve">Brunei Darussalam                       </t>
  </si>
  <si>
    <t xml:space="preserve">Bulgaria                                        </t>
  </si>
  <si>
    <t xml:space="preserve">Myanmar                                            </t>
  </si>
  <si>
    <t xml:space="preserve">Burundi                                         </t>
  </si>
  <si>
    <t xml:space="preserve">Belarus                                         </t>
  </si>
  <si>
    <t xml:space="preserve">Cambodia                                         </t>
  </si>
  <si>
    <t xml:space="preserve">Cameroon                                        </t>
  </si>
  <si>
    <t xml:space="preserve">Canada                                  </t>
  </si>
  <si>
    <t xml:space="preserve">Cape Verde                                      </t>
  </si>
  <si>
    <t xml:space="preserve">Central African Republic                </t>
  </si>
  <si>
    <t xml:space="preserve">Sri Lanka                  </t>
  </si>
  <si>
    <t xml:space="preserve">Chad                                            </t>
  </si>
  <si>
    <t xml:space="preserve">Chile                                           </t>
  </si>
  <si>
    <t>China</t>
  </si>
  <si>
    <t xml:space="preserve">Taiwan. Province of China                                   </t>
  </si>
  <si>
    <t xml:space="preserve">Colombia                                        </t>
  </si>
  <si>
    <t xml:space="preserve">Comoros                     </t>
  </si>
  <si>
    <t xml:space="preserve">Congo                                       </t>
  </si>
  <si>
    <t>Congo. The Dem. Rep. of the</t>
  </si>
  <si>
    <t xml:space="preserve">Costa Rica                                      </t>
  </si>
  <si>
    <t xml:space="preserve">Croatia                                         </t>
  </si>
  <si>
    <t xml:space="preserve">Cuba                                            </t>
  </si>
  <si>
    <t xml:space="preserve">Cyprus                                          </t>
  </si>
  <si>
    <t xml:space="preserve">Czech Republic                          </t>
  </si>
  <si>
    <t xml:space="preserve">Benin                                           </t>
  </si>
  <si>
    <t xml:space="preserve">Denmark                                          </t>
  </si>
  <si>
    <t xml:space="preserve">Dominica                                    </t>
  </si>
  <si>
    <t xml:space="preserve">Dominican Republic                      </t>
  </si>
  <si>
    <t xml:space="preserve">Ecuador                                         </t>
  </si>
  <si>
    <t xml:space="preserve">El Salvador                                     </t>
  </si>
  <si>
    <t xml:space="preserve">Equatorial Guinea                               </t>
  </si>
  <si>
    <t>Ethiopia</t>
  </si>
  <si>
    <t xml:space="preserve">Eritrea                                 </t>
  </si>
  <si>
    <t xml:space="preserve">Estonia                                         </t>
  </si>
  <si>
    <t>Faroe Islands</t>
  </si>
  <si>
    <t>Falklands Islands (Malvinas)</t>
  </si>
  <si>
    <t xml:space="preserve">Fiji                                            </t>
  </si>
  <si>
    <t xml:space="preserve">Finland                                         </t>
  </si>
  <si>
    <t>France</t>
  </si>
  <si>
    <t xml:space="preserve">French Guiana                           </t>
  </si>
  <si>
    <t xml:space="preserve">Djibouti                                        </t>
  </si>
  <si>
    <t>Gabon</t>
  </si>
  <si>
    <t xml:space="preserve">Georgia                                 </t>
  </si>
  <si>
    <t xml:space="preserve">Gambia                                      </t>
  </si>
  <si>
    <t xml:space="preserve">Germany                                 </t>
  </si>
  <si>
    <t xml:space="preserve">Ghana                                           </t>
  </si>
  <si>
    <t>Greece</t>
  </si>
  <si>
    <t xml:space="preserve">Greenland                               </t>
  </si>
  <si>
    <t xml:space="preserve">Grenada                                 </t>
  </si>
  <si>
    <t xml:space="preserve">Guadeloupe                              </t>
  </si>
  <si>
    <t xml:space="preserve">Guatemala                                       </t>
  </si>
  <si>
    <t xml:space="preserve">Guinea                                          </t>
  </si>
  <si>
    <t xml:space="preserve">Guyana                                          </t>
  </si>
  <si>
    <t xml:space="preserve">Haiti                                           </t>
  </si>
  <si>
    <t xml:space="preserve">Honduras                                        </t>
  </si>
  <si>
    <t xml:space="preserve">Hong Kong                               </t>
  </si>
  <si>
    <t xml:space="preserve">Hungary                                         </t>
  </si>
  <si>
    <t xml:space="preserve">Iceland                                         </t>
  </si>
  <si>
    <t xml:space="preserve">India                                           </t>
  </si>
  <si>
    <t xml:space="preserve">Indonesia                                       </t>
  </si>
  <si>
    <t>Iran</t>
  </si>
  <si>
    <t xml:space="preserve">Iraq                                            </t>
  </si>
  <si>
    <t xml:space="preserve">Ireland                                 </t>
  </si>
  <si>
    <t xml:space="preserve">Israel                                             </t>
  </si>
  <si>
    <t>Italy</t>
  </si>
  <si>
    <t xml:space="preserve">Cote d'Ivoire                                    </t>
  </si>
  <si>
    <t xml:space="preserve">Jamaica                                 </t>
  </si>
  <si>
    <t xml:space="preserve">Japan                                   </t>
  </si>
  <si>
    <t xml:space="preserve">Kazakstan                                      </t>
  </si>
  <si>
    <t xml:space="preserve">Jordan                                 </t>
  </si>
  <si>
    <t xml:space="preserve">Kenya                                           </t>
  </si>
  <si>
    <t>Korea. Dem. People's Rep. of</t>
  </si>
  <si>
    <t>Korea. Republic of</t>
  </si>
  <si>
    <t xml:space="preserve">Kuwait                                             </t>
  </si>
  <si>
    <t>Kyrgyzstan</t>
  </si>
  <si>
    <t>Lao People's Dem. Rep.</t>
  </si>
  <si>
    <t>Lebanon</t>
  </si>
  <si>
    <t xml:space="preserve">Lesotho                                          </t>
  </si>
  <si>
    <t xml:space="preserve">Latvia                                          </t>
  </si>
  <si>
    <t xml:space="preserve">Liberia                                         </t>
  </si>
  <si>
    <t>Libyan Arab Jamahiriya</t>
  </si>
  <si>
    <t xml:space="preserve">Liechtenstein                               </t>
  </si>
  <si>
    <t xml:space="preserve">Lithuania                                       </t>
  </si>
  <si>
    <t xml:space="preserve">Luxembourg                                   </t>
  </si>
  <si>
    <t xml:space="preserve">Madagascar                                      </t>
  </si>
  <si>
    <t xml:space="preserve">Malawi                                          </t>
  </si>
  <si>
    <t xml:space="preserve">Malaysia                                </t>
  </si>
  <si>
    <t xml:space="preserve">Mali                                            </t>
  </si>
  <si>
    <t xml:space="preserve">Malta                                           </t>
  </si>
  <si>
    <t xml:space="preserve">Martinique                              </t>
  </si>
  <si>
    <t xml:space="preserve">Mauritania                              </t>
  </si>
  <si>
    <t xml:space="preserve">Mauritius                                       </t>
  </si>
  <si>
    <t>Mexico</t>
  </si>
  <si>
    <t xml:space="preserve">Mongolia                                </t>
  </si>
  <si>
    <t>Moldova</t>
  </si>
  <si>
    <t xml:space="preserve">Montserrat                              </t>
  </si>
  <si>
    <t xml:space="preserve">Morocco                                          </t>
  </si>
  <si>
    <t xml:space="preserve">Mozambique                                      </t>
  </si>
  <si>
    <t xml:space="preserve">Oman                                           </t>
  </si>
  <si>
    <t xml:space="preserve">Namibia                                         </t>
  </si>
  <si>
    <t xml:space="preserve">Nepal                                            </t>
  </si>
  <si>
    <t xml:space="preserve">Netherlands                                  </t>
  </si>
  <si>
    <t xml:space="preserve">Netherlands Antilles                    </t>
  </si>
  <si>
    <t xml:space="preserve">Aruba                                   </t>
  </si>
  <si>
    <t xml:space="preserve">New Caledonia                           </t>
  </si>
  <si>
    <t xml:space="preserve">Vanuatu                                         </t>
  </si>
  <si>
    <t xml:space="preserve">New Zealand                             </t>
  </si>
  <si>
    <t xml:space="preserve">Nicaragua                                       </t>
  </si>
  <si>
    <t xml:space="preserve">Niger                                       </t>
  </si>
  <si>
    <t xml:space="preserve">Nigeria                                 </t>
  </si>
  <si>
    <t xml:space="preserve">Norway                                           </t>
  </si>
  <si>
    <t xml:space="preserve">Pakistan                                </t>
  </si>
  <si>
    <t xml:space="preserve">Panama                                          </t>
  </si>
  <si>
    <t xml:space="preserve">Papua New Guinea                                            </t>
  </si>
  <si>
    <t xml:space="preserve">Paraguay                                        </t>
  </si>
  <si>
    <t xml:space="preserve">Peru                                            </t>
  </si>
  <si>
    <t xml:space="preserve">Philippines                                 </t>
  </si>
  <si>
    <t xml:space="preserve">Poland                                          </t>
  </si>
  <si>
    <t>Portugal</t>
  </si>
  <si>
    <t xml:space="preserve">Guinea-Bissau                                   </t>
  </si>
  <si>
    <t>East Timor</t>
  </si>
  <si>
    <t xml:space="preserve">Puerto Rico                                                 </t>
  </si>
  <si>
    <t xml:space="preserve">Qatar                                              </t>
  </si>
  <si>
    <t xml:space="preserve">Reunion                                 </t>
  </si>
  <si>
    <t xml:space="preserve">Romania                                 </t>
  </si>
  <si>
    <t xml:space="preserve">Russian Federation                      </t>
  </si>
  <si>
    <t>Rwanda</t>
  </si>
  <si>
    <t xml:space="preserve">Saint Kitts and Nevis </t>
  </si>
  <si>
    <t xml:space="preserve">Anguilla                                </t>
  </si>
  <si>
    <t xml:space="preserve">Saint Lucia                             </t>
  </si>
  <si>
    <t xml:space="preserve">Saint Pierre and Miquelon    </t>
  </si>
  <si>
    <t>Saint Vincent &amp; the Grenadines</t>
  </si>
  <si>
    <t xml:space="preserve">Sao Tome and Principe                </t>
  </si>
  <si>
    <t xml:space="preserve">Saudi Arabia                                     </t>
  </si>
  <si>
    <t xml:space="preserve">Senegal                                         </t>
  </si>
  <si>
    <t xml:space="preserve">Sierra Leone                                    </t>
  </si>
  <si>
    <t xml:space="preserve">Singapore                                       </t>
  </si>
  <si>
    <t>Slovakia</t>
  </si>
  <si>
    <t xml:space="preserve">Viet Nam                              </t>
  </si>
  <si>
    <t xml:space="preserve">Slovenia                                        </t>
  </si>
  <si>
    <t>Somalia</t>
  </si>
  <si>
    <t xml:space="preserve">South Africa                                    </t>
  </si>
  <si>
    <t xml:space="preserve">Zimbabwe                                        </t>
  </si>
  <si>
    <t xml:space="preserve">Spain                                            </t>
  </si>
  <si>
    <t xml:space="preserve">Western Sahara                          </t>
  </si>
  <si>
    <t xml:space="preserve">Sudan                                       </t>
  </si>
  <si>
    <t xml:space="preserve">Suriname                                        </t>
  </si>
  <si>
    <t xml:space="preserve">Swaziland                                        </t>
  </si>
  <si>
    <t xml:space="preserve">Sweden                                           </t>
  </si>
  <si>
    <t>Switzerland</t>
  </si>
  <si>
    <t>Syria</t>
  </si>
  <si>
    <t xml:space="preserve">Tajikistan                                      </t>
  </si>
  <si>
    <t xml:space="preserve">Thailand                                         </t>
  </si>
  <si>
    <t>Togo</t>
  </si>
  <si>
    <t xml:space="preserve">Tonga                                            </t>
  </si>
  <si>
    <t xml:space="preserve">Trinidad and Tobago                             </t>
  </si>
  <si>
    <t xml:space="preserve">United Arab Emirates                    </t>
  </si>
  <si>
    <t xml:space="preserve">Tunisia                                         </t>
  </si>
  <si>
    <t xml:space="preserve">Turkey                                          </t>
  </si>
  <si>
    <t xml:space="preserve">Turkmenistan                            </t>
  </si>
  <si>
    <t xml:space="preserve">Turks and Caicos Islands                                    </t>
  </si>
  <si>
    <t xml:space="preserve">Uganda                                          </t>
  </si>
  <si>
    <t xml:space="preserve">Ukraine                                 </t>
  </si>
  <si>
    <t>Macedonia. F. Yug. Rep. of</t>
  </si>
  <si>
    <t xml:space="preserve">Egypt                                      </t>
  </si>
  <si>
    <t>United Kingdom</t>
  </si>
  <si>
    <t>Tanzania</t>
  </si>
  <si>
    <t>United States</t>
  </si>
  <si>
    <t>Virgin Islands. U.S.</t>
  </si>
  <si>
    <t xml:space="preserve">Burkina Faso                            </t>
  </si>
  <si>
    <t xml:space="preserve">Uruguay                                 </t>
  </si>
  <si>
    <t xml:space="preserve">Uzbekistan                                      </t>
  </si>
  <si>
    <t xml:space="preserve">Venezuela                                       </t>
  </si>
  <si>
    <t xml:space="preserve">Samoa                          </t>
  </si>
  <si>
    <t xml:space="preserve">Yemen                                           </t>
  </si>
  <si>
    <t xml:space="preserve">Yugoslavia                              </t>
  </si>
  <si>
    <t xml:space="preserve">Zambia                                          </t>
  </si>
  <si>
    <t>M: Latrines</t>
  </si>
  <si>
    <t>latr2010</t>
  </si>
  <si>
    <t>latr2050</t>
  </si>
  <si>
    <t>latr2100</t>
  </si>
  <si>
    <t>M: Septic tanks</t>
  </si>
  <si>
    <t>sept2010</t>
  </si>
  <si>
    <t>sept2050</t>
  </si>
  <si>
    <t>sept2100</t>
  </si>
  <si>
    <t>M: Sewer systems</t>
  </si>
  <si>
    <t>sewr2010</t>
  </si>
  <si>
    <t>sewr2050</t>
  </si>
  <si>
    <t>sewr2100</t>
  </si>
  <si>
    <t>M</t>
  </si>
  <si>
    <t>prim2010</t>
  </si>
  <si>
    <t>prim2050</t>
  </si>
  <si>
    <t>prim2100</t>
  </si>
  <si>
    <t>secu2010</t>
  </si>
  <si>
    <t>secu2050</t>
  </si>
  <si>
    <t>secu2100</t>
  </si>
  <si>
    <t>tert2010</t>
  </si>
  <si>
    <t>tert2050</t>
  </si>
  <si>
    <t>tert2100</t>
  </si>
  <si>
    <t>quat2010</t>
  </si>
  <si>
    <t>quat2050</t>
  </si>
  <si>
    <t>quat2100</t>
  </si>
  <si>
    <t>Fractie urbaan</t>
  </si>
  <si>
    <t>ontvangen 19 jan-2017, Paul Lucas</t>
  </si>
  <si>
    <t>selectie voor Image-GNM</t>
  </si>
  <si>
    <t>urbf2010</t>
  </si>
  <si>
    <t>urbf2050</t>
  </si>
  <si>
    <t>urbf2100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</si>
</sst>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2" fontId="0" fillId="0" borderId="0" xfId="0" applyNumberFormat="1"/>
    <xf numFmtId="1" fontId="0" fillId="0" borderId="0" xfId="0" applyNumberFormat="1"/>
    <xf numFmtId="0" fontId="0" fillId="0" borderId="0" xfId="0" quotePrefix="1"/>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ennisbasis/water/globalnutrients/ssp_2019/basisdata/gdp_ppp_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ennisbasis/water/globalnutrients/ssp_2019/basisdata/popnum_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z"/>
      <sheetName val="gdp_ssp1_regio"/>
      <sheetName val="gdp_ssp2_regio"/>
      <sheetName val="gdp_ssp3_regio"/>
      <sheetName val="gdp_ssp4_regio"/>
      <sheetName val="gdp_ssp5_regio"/>
      <sheetName val="gdp_ssp1"/>
      <sheetName val="gdp_ssp2"/>
      <sheetName val="gdp_ssp3"/>
      <sheetName val="gdp_ssp4"/>
      <sheetName val="gdp_ssp5"/>
    </sheetNames>
    <sheetDataSet>
      <sheetData sheetId="0"/>
      <sheetData sheetId="1"/>
      <sheetData sheetId="2"/>
      <sheetData sheetId="3"/>
      <sheetData sheetId="4"/>
      <sheetData sheetId="5"/>
      <sheetData sheetId="6"/>
      <sheetData sheetId="7">
        <row r="1">
          <cell r="A1" t="str">
            <v>#</v>
          </cell>
          <cell r="B1" t="str">
            <v>SSP2</v>
          </cell>
          <cell r="C1" t="str">
            <v>GDP van INMS</v>
          </cell>
        </row>
        <row r="2">
          <cell r="A2" t="str">
            <v>#</v>
          </cell>
          <cell r="H2" t="str">
            <v>gdp2010</v>
          </cell>
          <cell r="M2" t="str">
            <v>gdp2050</v>
          </cell>
          <cell r="R2" t="str">
            <v>gdp2100</v>
          </cell>
        </row>
        <row r="3">
          <cell r="A3" t="str">
            <v>ISO-CODE</v>
          </cell>
          <cell r="B3" t="str">
            <v>Country</v>
          </cell>
          <cell r="C3" t="str">
            <v>Image region</v>
          </cell>
          <cell r="H3">
            <v>2010</v>
          </cell>
          <cell r="M3">
            <v>2050</v>
          </cell>
          <cell r="R3">
            <v>2100</v>
          </cell>
        </row>
        <row r="4">
          <cell r="A4">
            <v>4</v>
          </cell>
          <cell r="B4" t="str">
            <v xml:space="preserve">Afghanistan                                </v>
          </cell>
          <cell r="C4">
            <v>25</v>
          </cell>
          <cell r="H4">
            <v>937.977508230068</v>
          </cell>
          <cell r="M4">
            <v>4067.7954694816299</v>
          </cell>
          <cell r="R4">
            <v>42536.649190077304</v>
          </cell>
        </row>
        <row r="5">
          <cell r="A5">
            <v>8</v>
          </cell>
          <cell r="B5" t="str">
            <v xml:space="preserve">Albania                                         </v>
          </cell>
          <cell r="C5">
            <v>12</v>
          </cell>
          <cell r="H5">
            <v>7569.5789999999997</v>
          </cell>
          <cell r="M5">
            <v>19438.740000000002</v>
          </cell>
          <cell r="R5">
            <v>43905.41</v>
          </cell>
        </row>
        <row r="6">
          <cell r="A6">
            <v>12</v>
          </cell>
          <cell r="B6" t="str">
            <v xml:space="preserve">Algeria                      </v>
          </cell>
          <cell r="C6">
            <v>7</v>
          </cell>
          <cell r="H6">
            <v>7047.5060000000003</v>
          </cell>
          <cell r="M6">
            <v>12984.81</v>
          </cell>
          <cell r="R6">
            <v>37030.65</v>
          </cell>
        </row>
        <row r="7">
          <cell r="A7">
            <v>16</v>
          </cell>
          <cell r="B7" t="str">
            <v xml:space="preserve">American Samoa                          </v>
          </cell>
          <cell r="C7">
            <v>24</v>
          </cell>
          <cell r="H7">
            <v>31708.534618801816</v>
          </cell>
          <cell r="M7">
            <v>52926.755470945958</v>
          </cell>
          <cell r="R7">
            <v>95407.55210509905</v>
          </cell>
        </row>
        <row r="8">
          <cell r="A8">
            <v>20</v>
          </cell>
          <cell r="B8" t="str">
            <v xml:space="preserve">Andorra                                     </v>
          </cell>
          <cell r="C8">
            <v>11</v>
          </cell>
          <cell r="H8">
            <v>32869.31</v>
          </cell>
          <cell r="M8">
            <v>52847.938497032854</v>
          </cell>
          <cell r="R8">
            <v>101314.62848130196</v>
          </cell>
        </row>
        <row r="9">
          <cell r="A9">
            <v>24</v>
          </cell>
          <cell r="B9" t="str">
            <v xml:space="preserve">Angola                                          </v>
          </cell>
          <cell r="C9">
            <v>26</v>
          </cell>
          <cell r="H9">
            <v>4238.8827226114199</v>
          </cell>
          <cell r="M9">
            <v>4204.1629455348902</v>
          </cell>
          <cell r="R9">
            <v>21072.755866078998</v>
          </cell>
        </row>
        <row r="10">
          <cell r="A10">
            <v>31</v>
          </cell>
          <cell r="B10" t="str">
            <v>Azerbaijan</v>
          </cell>
          <cell r="C10">
            <v>16</v>
          </cell>
          <cell r="H10">
            <v>9823.1270000000004</v>
          </cell>
          <cell r="M10">
            <v>14587.58</v>
          </cell>
          <cell r="R10">
            <v>40616.129999999997</v>
          </cell>
        </row>
        <row r="11">
          <cell r="A11">
            <v>32</v>
          </cell>
          <cell r="B11" t="str">
            <v>Argentina</v>
          </cell>
          <cell r="C11">
            <v>6</v>
          </cell>
          <cell r="H11">
            <v>13916.9</v>
          </cell>
          <cell r="M11">
            <v>22411.33</v>
          </cell>
          <cell r="R11">
            <v>46585.57</v>
          </cell>
        </row>
        <row r="12">
          <cell r="A12">
            <v>36</v>
          </cell>
          <cell r="B12" t="str">
            <v xml:space="preserve">Australia                               </v>
          </cell>
          <cell r="C12">
            <v>24</v>
          </cell>
          <cell r="H12">
            <v>32202.03</v>
          </cell>
          <cell r="M12">
            <v>48536.27</v>
          </cell>
          <cell r="R12">
            <v>83265.19</v>
          </cell>
        </row>
        <row r="13">
          <cell r="A13">
            <v>40</v>
          </cell>
          <cell r="B13" t="str">
            <v xml:space="preserve">Austria                                         </v>
          </cell>
          <cell r="C13">
            <v>11</v>
          </cell>
          <cell r="H13">
            <v>34614.46</v>
          </cell>
          <cell r="M13">
            <v>51416.76</v>
          </cell>
          <cell r="R13">
            <v>86313.53</v>
          </cell>
        </row>
        <row r="14">
          <cell r="A14">
            <v>44</v>
          </cell>
          <cell r="B14" t="str">
            <v xml:space="preserve">Bahamas                                 </v>
          </cell>
          <cell r="C14">
            <v>4</v>
          </cell>
          <cell r="H14">
            <v>29301.08</v>
          </cell>
          <cell r="M14">
            <v>42711.199999999997</v>
          </cell>
          <cell r="R14">
            <v>78909.05</v>
          </cell>
        </row>
        <row r="15">
          <cell r="A15">
            <v>48</v>
          </cell>
          <cell r="B15" t="str">
            <v xml:space="preserve">Bahrain                                            </v>
          </cell>
          <cell r="C15">
            <v>17</v>
          </cell>
          <cell r="H15">
            <v>21739.89</v>
          </cell>
          <cell r="M15">
            <v>45456.07</v>
          </cell>
          <cell r="R15">
            <v>89867.23</v>
          </cell>
        </row>
        <row r="16">
          <cell r="A16">
            <v>50</v>
          </cell>
          <cell r="B16" t="str">
            <v>Bangladesh</v>
          </cell>
          <cell r="C16">
            <v>25</v>
          </cell>
          <cell r="H16">
            <v>1413.174</v>
          </cell>
          <cell r="M16">
            <v>6752.7719999999999</v>
          </cell>
          <cell r="R16">
            <v>25471.73</v>
          </cell>
        </row>
        <row r="17">
          <cell r="A17">
            <v>51</v>
          </cell>
          <cell r="B17" t="str">
            <v xml:space="preserve">Armenia                                         </v>
          </cell>
          <cell r="C17">
            <v>16</v>
          </cell>
          <cell r="H17">
            <v>4118.0429999999997</v>
          </cell>
          <cell r="M17">
            <v>11157.97</v>
          </cell>
          <cell r="R17">
            <v>21911.78</v>
          </cell>
        </row>
        <row r="18">
          <cell r="A18">
            <v>52</v>
          </cell>
          <cell r="B18" t="str">
            <v xml:space="preserve">Barbados                                </v>
          </cell>
          <cell r="C18">
            <v>4</v>
          </cell>
          <cell r="H18">
            <v>16053.16</v>
          </cell>
          <cell r="M18">
            <v>22767.16</v>
          </cell>
          <cell r="R18">
            <v>38913.33</v>
          </cell>
        </row>
        <row r="19">
          <cell r="A19">
            <v>56</v>
          </cell>
          <cell r="B19" t="str">
            <v xml:space="preserve">Belgium                                          </v>
          </cell>
          <cell r="C19">
            <v>11</v>
          </cell>
          <cell r="H19">
            <v>32869.519999999997</v>
          </cell>
          <cell r="M19">
            <v>54150.05</v>
          </cell>
          <cell r="R19">
            <v>104959.2</v>
          </cell>
        </row>
        <row r="20">
          <cell r="A20">
            <v>64</v>
          </cell>
          <cell r="B20" t="str">
            <v xml:space="preserve">Bhutan                                           </v>
          </cell>
          <cell r="C20">
            <v>25</v>
          </cell>
          <cell r="H20">
            <v>3823.7240000000002</v>
          </cell>
          <cell r="M20">
            <v>22987.32</v>
          </cell>
          <cell r="R20">
            <v>61746.49</v>
          </cell>
        </row>
        <row r="21">
          <cell r="A21">
            <v>68</v>
          </cell>
          <cell r="B21" t="str">
            <v>Bolivia</v>
          </cell>
          <cell r="C21">
            <v>6</v>
          </cell>
          <cell r="H21">
            <v>3937.98</v>
          </cell>
          <cell r="M21">
            <v>14238.36</v>
          </cell>
          <cell r="R21">
            <v>59438.95</v>
          </cell>
        </row>
        <row r="22">
          <cell r="A22">
            <v>70</v>
          </cell>
          <cell r="B22" t="str">
            <v xml:space="preserve">Bosnia and Herzegovina                          </v>
          </cell>
          <cell r="C22">
            <v>12</v>
          </cell>
          <cell r="H22">
            <v>7534.2879999999996</v>
          </cell>
          <cell r="M22">
            <v>24069.279999999999</v>
          </cell>
          <cell r="R22">
            <v>40941.870000000003</v>
          </cell>
        </row>
        <row r="23">
          <cell r="A23">
            <v>72</v>
          </cell>
          <cell r="B23" t="str">
            <v xml:space="preserve">Botswana                                        </v>
          </cell>
          <cell r="C23">
            <v>26</v>
          </cell>
          <cell r="H23">
            <v>8820.5010000000002</v>
          </cell>
          <cell r="M23">
            <v>12974.47</v>
          </cell>
          <cell r="R23">
            <v>19907.27</v>
          </cell>
        </row>
        <row r="24">
          <cell r="A24">
            <v>76</v>
          </cell>
          <cell r="B24" t="str">
            <v xml:space="preserve">Brazil                               </v>
          </cell>
          <cell r="C24">
            <v>5</v>
          </cell>
          <cell r="H24">
            <v>10082.66</v>
          </cell>
          <cell r="M24">
            <v>16845.32</v>
          </cell>
          <cell r="R24">
            <v>38085.050000000003</v>
          </cell>
        </row>
        <row r="25">
          <cell r="A25">
            <v>84</v>
          </cell>
          <cell r="B25" t="str">
            <v xml:space="preserve">Belize                                  </v>
          </cell>
          <cell r="C25">
            <v>4</v>
          </cell>
          <cell r="H25">
            <v>7741.8429999999998</v>
          </cell>
          <cell r="M25">
            <v>18474.61</v>
          </cell>
          <cell r="R25">
            <v>70574.8</v>
          </cell>
        </row>
        <row r="26">
          <cell r="A26">
            <v>90</v>
          </cell>
          <cell r="B26" t="str">
            <v xml:space="preserve">Solomon Islands                         </v>
          </cell>
          <cell r="C26">
            <v>24</v>
          </cell>
          <cell r="H26">
            <v>1461.2660000000001</v>
          </cell>
          <cell r="M26">
            <v>5566.5129999999999</v>
          </cell>
          <cell r="R26">
            <v>25128.560000000001</v>
          </cell>
        </row>
        <row r="27">
          <cell r="A27">
            <v>96</v>
          </cell>
          <cell r="B27" t="str">
            <v xml:space="preserve">Brunei Darussalam                       </v>
          </cell>
          <cell r="C27">
            <v>21</v>
          </cell>
          <cell r="H27">
            <v>48689.23</v>
          </cell>
          <cell r="M27">
            <v>77007.11</v>
          </cell>
          <cell r="R27">
            <v>145582.1</v>
          </cell>
        </row>
        <row r="28">
          <cell r="A28">
            <v>100</v>
          </cell>
          <cell r="B28" t="str">
            <v xml:space="preserve">Bulgaria                                        </v>
          </cell>
          <cell r="C28">
            <v>12</v>
          </cell>
          <cell r="H28">
            <v>11746.98</v>
          </cell>
          <cell r="M28">
            <v>34335.449999999997</v>
          </cell>
          <cell r="R28">
            <v>71951.05</v>
          </cell>
        </row>
        <row r="29">
          <cell r="A29">
            <v>104</v>
          </cell>
          <cell r="B29" t="str">
            <v xml:space="preserve">Myanmar                                            </v>
          </cell>
          <cell r="C29">
            <v>21</v>
          </cell>
          <cell r="H29">
            <v>2229.3040000000001</v>
          </cell>
          <cell r="M29">
            <v>7764.509</v>
          </cell>
          <cell r="R29">
            <v>19874.080000000002</v>
          </cell>
        </row>
        <row r="30">
          <cell r="A30">
            <v>108</v>
          </cell>
          <cell r="B30" t="str">
            <v xml:space="preserve">Burundi                                         </v>
          </cell>
          <cell r="C30">
            <v>9</v>
          </cell>
          <cell r="H30">
            <v>461.18939999999998</v>
          </cell>
          <cell r="M30">
            <v>2193.7860000000001</v>
          </cell>
          <cell r="R30">
            <v>25216.11</v>
          </cell>
        </row>
        <row r="31">
          <cell r="A31">
            <v>112</v>
          </cell>
          <cell r="B31" t="str">
            <v xml:space="preserve">Belarus                                         </v>
          </cell>
          <cell r="C31">
            <v>14</v>
          </cell>
          <cell r="H31">
            <v>12678.9</v>
          </cell>
          <cell r="M31">
            <v>28029.65</v>
          </cell>
          <cell r="R31">
            <v>53838.93</v>
          </cell>
        </row>
        <row r="32">
          <cell r="A32">
            <v>116</v>
          </cell>
          <cell r="B32" t="str">
            <v xml:space="preserve">Cambodia                                         </v>
          </cell>
          <cell r="C32">
            <v>21</v>
          </cell>
          <cell r="H32">
            <v>1524.4739999999999</v>
          </cell>
          <cell r="M32">
            <v>7916.8029999999999</v>
          </cell>
          <cell r="R32">
            <v>34723.94</v>
          </cell>
        </row>
        <row r="33">
          <cell r="A33">
            <v>120</v>
          </cell>
          <cell r="B33" t="str">
            <v xml:space="preserve">Cameroon                                        </v>
          </cell>
          <cell r="C33">
            <v>8</v>
          </cell>
          <cell r="H33">
            <v>1460.4570000000001</v>
          </cell>
          <cell r="M33">
            <v>4342.0550000000003</v>
          </cell>
          <cell r="R33">
            <v>17011.68</v>
          </cell>
        </row>
        <row r="34">
          <cell r="A34">
            <v>124</v>
          </cell>
          <cell r="B34" t="str">
            <v xml:space="preserve">Canada                                  </v>
          </cell>
          <cell r="C34">
            <v>1</v>
          </cell>
          <cell r="H34">
            <v>35234.42</v>
          </cell>
          <cell r="M34">
            <v>50577.81</v>
          </cell>
          <cell r="R34">
            <v>87462.94</v>
          </cell>
        </row>
        <row r="35">
          <cell r="A35">
            <v>132</v>
          </cell>
          <cell r="B35" t="str">
            <v xml:space="preserve">Cape Verde                                      </v>
          </cell>
          <cell r="C35">
            <v>8</v>
          </cell>
          <cell r="H35">
            <v>3017.6930000000002</v>
          </cell>
          <cell r="M35">
            <v>4646.6760000000004</v>
          </cell>
          <cell r="R35">
            <v>10367.469999999999</v>
          </cell>
        </row>
        <row r="36">
          <cell r="A36">
            <v>140</v>
          </cell>
          <cell r="B36" t="str">
            <v xml:space="preserve">Central African Republic                </v>
          </cell>
          <cell r="C36">
            <v>8</v>
          </cell>
          <cell r="H36">
            <v>453.68430000000001</v>
          </cell>
          <cell r="M36">
            <v>974.61649999999997</v>
          </cell>
          <cell r="R36">
            <v>6069.2759999999998</v>
          </cell>
        </row>
        <row r="37">
          <cell r="A37">
            <v>144</v>
          </cell>
          <cell r="B37" t="str">
            <v xml:space="preserve">Sri Lanka                  </v>
          </cell>
          <cell r="C37">
            <v>25</v>
          </cell>
          <cell r="H37">
            <v>4771.2430000000004</v>
          </cell>
          <cell r="M37">
            <v>16290.31</v>
          </cell>
          <cell r="R37">
            <v>39359.910000000003</v>
          </cell>
        </row>
        <row r="38">
          <cell r="A38">
            <v>148</v>
          </cell>
          <cell r="B38" t="str">
            <v xml:space="preserve">Chad                                            </v>
          </cell>
          <cell r="C38">
            <v>8</v>
          </cell>
          <cell r="H38">
            <v>972.17359999999996</v>
          </cell>
          <cell r="M38">
            <v>2841.6219999999998</v>
          </cell>
          <cell r="R38">
            <v>20611.64</v>
          </cell>
        </row>
        <row r="39">
          <cell r="A39">
            <v>152</v>
          </cell>
          <cell r="B39" t="str">
            <v xml:space="preserve">Chile                                           </v>
          </cell>
          <cell r="C39">
            <v>6</v>
          </cell>
          <cell r="H39">
            <v>14286.56</v>
          </cell>
          <cell r="M39">
            <v>26401.17</v>
          </cell>
          <cell r="R39">
            <v>54040.62</v>
          </cell>
        </row>
        <row r="40">
          <cell r="A40">
            <v>156</v>
          </cell>
          <cell r="B40" t="str">
            <v>China</v>
          </cell>
          <cell r="C40">
            <v>20</v>
          </cell>
          <cell r="H40">
            <v>8333.0300000000007</v>
          </cell>
          <cell r="M40">
            <v>42131.67</v>
          </cell>
          <cell r="R40">
            <v>80048.39</v>
          </cell>
        </row>
        <row r="41">
          <cell r="A41">
            <v>158</v>
          </cell>
          <cell r="B41" t="str">
            <v xml:space="preserve">Taiwan. Province of China                                   </v>
          </cell>
          <cell r="C41">
            <v>20</v>
          </cell>
          <cell r="H41">
            <v>31995.410453270717</v>
          </cell>
          <cell r="M41">
            <v>177866.71438923321</v>
          </cell>
          <cell r="R41">
            <v>339452.05276130734</v>
          </cell>
        </row>
        <row r="42">
          <cell r="A42">
            <v>170</v>
          </cell>
          <cell r="B42" t="str">
            <v xml:space="preserve">Colombia                                        </v>
          </cell>
          <cell r="C42">
            <v>6</v>
          </cell>
          <cell r="H42">
            <v>8084.2479999999996</v>
          </cell>
          <cell r="M42">
            <v>17505.5</v>
          </cell>
          <cell r="R42">
            <v>49557.62</v>
          </cell>
        </row>
        <row r="43">
          <cell r="A43">
            <v>174</v>
          </cell>
          <cell r="B43" t="str">
            <v xml:space="preserve">Comoros                     </v>
          </cell>
          <cell r="C43">
            <v>9</v>
          </cell>
          <cell r="H43">
            <v>1524.9849999999999</v>
          </cell>
          <cell r="M43">
            <v>6252.9350000000004</v>
          </cell>
          <cell r="R43">
            <v>57286.81</v>
          </cell>
        </row>
        <row r="44">
          <cell r="A44">
            <v>178</v>
          </cell>
          <cell r="B44" t="str">
            <v xml:space="preserve">Congo                                       </v>
          </cell>
          <cell r="C44">
            <v>8</v>
          </cell>
          <cell r="H44">
            <v>3808.1584526351012</v>
          </cell>
          <cell r="M44">
            <v>17606.223857378031</v>
          </cell>
          <cell r="R44">
            <v>104793.52151563697</v>
          </cell>
        </row>
        <row r="45">
          <cell r="A45">
            <v>180</v>
          </cell>
          <cell r="B45" t="str">
            <v>Congo. The Dem. Rep. of the</v>
          </cell>
          <cell r="C45">
            <v>8</v>
          </cell>
          <cell r="H45">
            <v>334.99979999999999</v>
          </cell>
          <cell r="M45">
            <v>2899.7060000000001</v>
          </cell>
          <cell r="R45">
            <v>22729.21</v>
          </cell>
        </row>
        <row r="46">
          <cell r="A46">
            <v>188</v>
          </cell>
          <cell r="B46" t="str">
            <v xml:space="preserve">Costa Rica                                      </v>
          </cell>
          <cell r="C46">
            <v>4</v>
          </cell>
          <cell r="H46">
            <v>12732.29</v>
          </cell>
          <cell r="M46">
            <v>34453.68</v>
          </cell>
          <cell r="R46">
            <v>87637.21</v>
          </cell>
        </row>
        <row r="47">
          <cell r="A47">
            <v>191</v>
          </cell>
          <cell r="B47" t="str">
            <v xml:space="preserve">Croatia                                         </v>
          </cell>
          <cell r="C47">
            <v>12</v>
          </cell>
          <cell r="H47">
            <v>15896.94</v>
          </cell>
          <cell r="M47">
            <v>28773.8</v>
          </cell>
          <cell r="R47">
            <v>53606.7</v>
          </cell>
        </row>
        <row r="48">
          <cell r="A48">
            <v>192</v>
          </cell>
          <cell r="B48" t="str">
            <v xml:space="preserve">Cuba                                            </v>
          </cell>
          <cell r="C48">
            <v>4</v>
          </cell>
          <cell r="H48">
            <v>5821.5360000000001</v>
          </cell>
          <cell r="M48">
            <v>10526.59</v>
          </cell>
          <cell r="R48">
            <v>20799.21</v>
          </cell>
        </row>
        <row r="49">
          <cell r="A49">
            <v>196</v>
          </cell>
          <cell r="B49" t="str">
            <v xml:space="preserve">Cyprus                                          </v>
          </cell>
          <cell r="C49">
            <v>12</v>
          </cell>
          <cell r="H49">
            <v>19509.5</v>
          </cell>
          <cell r="M49">
            <v>36911.339999999997</v>
          </cell>
          <cell r="R49">
            <v>100402.9</v>
          </cell>
        </row>
        <row r="50">
          <cell r="A50">
            <v>203</v>
          </cell>
          <cell r="B50" t="str">
            <v xml:space="preserve">Czech Republic                          </v>
          </cell>
          <cell r="C50">
            <v>12</v>
          </cell>
          <cell r="H50">
            <v>21750.34</v>
          </cell>
          <cell r="M50">
            <v>60159.17</v>
          </cell>
          <cell r="R50">
            <v>153420.29999999999</v>
          </cell>
        </row>
        <row r="51">
          <cell r="A51">
            <v>204</v>
          </cell>
          <cell r="B51" t="str">
            <v xml:space="preserve">Benin                                           </v>
          </cell>
          <cell r="C51">
            <v>8</v>
          </cell>
          <cell r="H51">
            <v>923.45330000000001</v>
          </cell>
          <cell r="M51">
            <v>2916.337</v>
          </cell>
          <cell r="R51">
            <v>18691.91</v>
          </cell>
        </row>
        <row r="52">
          <cell r="A52">
            <v>208</v>
          </cell>
          <cell r="B52" t="str">
            <v xml:space="preserve">Denmark                                          </v>
          </cell>
          <cell r="C52">
            <v>11</v>
          </cell>
          <cell r="H52">
            <v>35293.4</v>
          </cell>
          <cell r="M52">
            <v>55142.87</v>
          </cell>
          <cell r="R52">
            <v>126116.5</v>
          </cell>
        </row>
        <row r="53">
          <cell r="A53">
            <v>212</v>
          </cell>
          <cell r="B53" t="str">
            <v xml:space="preserve">Dominica                                    </v>
          </cell>
          <cell r="C53">
            <v>4</v>
          </cell>
          <cell r="H53">
            <v>10137.94</v>
          </cell>
          <cell r="M53">
            <v>30825.74061789078</v>
          </cell>
          <cell r="R53">
            <v>110019.26468954262</v>
          </cell>
        </row>
        <row r="54">
          <cell r="A54">
            <v>214</v>
          </cell>
          <cell r="B54" t="str">
            <v xml:space="preserve">Dominican Republic                      </v>
          </cell>
          <cell r="C54">
            <v>4</v>
          </cell>
          <cell r="H54">
            <v>11210.05</v>
          </cell>
          <cell r="M54">
            <v>33148.43</v>
          </cell>
          <cell r="R54">
            <v>85901.27</v>
          </cell>
        </row>
        <row r="55">
          <cell r="A55">
            <v>218</v>
          </cell>
          <cell r="B55" t="str">
            <v xml:space="preserve">Ecuador                                         </v>
          </cell>
          <cell r="C55">
            <v>6</v>
          </cell>
          <cell r="H55">
            <v>6865.21</v>
          </cell>
          <cell r="M55">
            <v>15137.88</v>
          </cell>
          <cell r="R55">
            <v>49369.279999999999</v>
          </cell>
        </row>
        <row r="56">
          <cell r="A56">
            <v>222</v>
          </cell>
          <cell r="B56" t="str">
            <v xml:space="preserve">El Salvador                                     </v>
          </cell>
          <cell r="C56">
            <v>4</v>
          </cell>
          <cell r="H56">
            <v>6195.2489999999998</v>
          </cell>
          <cell r="M56">
            <v>13619.99</v>
          </cell>
          <cell r="R56">
            <v>39909.449999999997</v>
          </cell>
        </row>
        <row r="57">
          <cell r="A57">
            <v>226</v>
          </cell>
          <cell r="B57" t="str">
            <v xml:space="preserve">Equatorial Guinea                               </v>
          </cell>
          <cell r="C57">
            <v>8</v>
          </cell>
          <cell r="H57">
            <v>17257.88</v>
          </cell>
          <cell r="M57">
            <v>13491.68</v>
          </cell>
          <cell r="R57">
            <v>22241.759999999998</v>
          </cell>
        </row>
        <row r="58">
          <cell r="A58">
            <v>231</v>
          </cell>
          <cell r="B58" t="str">
            <v>Ethiopia</v>
          </cell>
          <cell r="C58">
            <v>9</v>
          </cell>
          <cell r="H58">
            <v>675.44389999999999</v>
          </cell>
          <cell r="M58">
            <v>4407.6469999999999</v>
          </cell>
          <cell r="R58">
            <v>44446.71</v>
          </cell>
        </row>
        <row r="59">
          <cell r="A59">
            <v>232</v>
          </cell>
          <cell r="B59" t="str">
            <v xml:space="preserve">Eritrea                                 </v>
          </cell>
          <cell r="C59">
            <v>9</v>
          </cell>
          <cell r="H59">
            <v>489.75231818635177</v>
          </cell>
          <cell r="M59">
            <v>2173.9786665485635</v>
          </cell>
          <cell r="R59">
            <v>14505.020256521067</v>
          </cell>
        </row>
        <row r="60">
          <cell r="A60">
            <v>233</v>
          </cell>
          <cell r="B60" t="str">
            <v xml:space="preserve">Estonia                                         </v>
          </cell>
          <cell r="C60">
            <v>12</v>
          </cell>
          <cell r="H60">
            <v>17540.400000000001</v>
          </cell>
          <cell r="M60">
            <v>51322.45</v>
          </cell>
          <cell r="R60">
            <v>125957.8</v>
          </cell>
        </row>
        <row r="61">
          <cell r="A61">
            <v>234</v>
          </cell>
          <cell r="B61" t="str">
            <v>Faroe Islands</v>
          </cell>
          <cell r="C61">
            <v>11</v>
          </cell>
          <cell r="H61">
            <v>31042.278404823133</v>
          </cell>
          <cell r="M61">
            <v>49910.407419620038</v>
          </cell>
          <cell r="R61">
            <v>95683.096235686229</v>
          </cell>
        </row>
        <row r="62">
          <cell r="A62">
            <v>238</v>
          </cell>
          <cell r="B62" t="str">
            <v>Falklands Islands (Malvinas)</v>
          </cell>
          <cell r="C62">
            <v>6</v>
          </cell>
          <cell r="H62">
            <v>10118.165208214981</v>
          </cell>
          <cell r="M62">
            <v>22209.726371782363</v>
          </cell>
          <cell r="R62">
            <v>56672.461580382733</v>
          </cell>
        </row>
        <row r="63">
          <cell r="A63">
            <v>242</v>
          </cell>
          <cell r="B63" t="str">
            <v xml:space="preserve">Fiji                                            </v>
          </cell>
          <cell r="C63">
            <v>24</v>
          </cell>
          <cell r="H63">
            <v>5742.576</v>
          </cell>
          <cell r="M63">
            <v>12973.22</v>
          </cell>
          <cell r="R63">
            <v>41553.67</v>
          </cell>
        </row>
        <row r="64">
          <cell r="A64">
            <v>246</v>
          </cell>
          <cell r="B64" t="str">
            <v xml:space="preserve">Finland                                         </v>
          </cell>
          <cell r="C64">
            <v>11</v>
          </cell>
          <cell r="H64">
            <v>31991.01</v>
          </cell>
          <cell r="M64">
            <v>47857.95</v>
          </cell>
          <cell r="R64">
            <v>100772.4</v>
          </cell>
        </row>
        <row r="65">
          <cell r="A65">
            <v>250</v>
          </cell>
          <cell r="B65" t="str">
            <v>France</v>
          </cell>
          <cell r="C65">
            <v>11</v>
          </cell>
          <cell r="H65">
            <v>30613.360000000001</v>
          </cell>
          <cell r="M65">
            <v>49545.96</v>
          </cell>
          <cell r="R65">
            <v>99607.64</v>
          </cell>
        </row>
        <row r="66">
          <cell r="A66">
            <v>254</v>
          </cell>
          <cell r="B66" t="str">
            <v xml:space="preserve">French Guiana                           </v>
          </cell>
          <cell r="C66">
            <v>6</v>
          </cell>
          <cell r="H66">
            <v>10118.165208214981</v>
          </cell>
          <cell r="M66">
            <v>22209.726371782363</v>
          </cell>
          <cell r="R66">
            <v>56672.461580382733</v>
          </cell>
        </row>
        <row r="67">
          <cell r="A67">
            <v>262</v>
          </cell>
          <cell r="B67" t="str">
            <v xml:space="preserve">Djibouti                                        </v>
          </cell>
          <cell r="C67">
            <v>9</v>
          </cell>
          <cell r="H67">
            <v>1693.337</v>
          </cell>
          <cell r="M67">
            <v>9410.152834205026</v>
          </cell>
          <cell r="R67">
            <v>62785.555156253395</v>
          </cell>
        </row>
        <row r="68">
          <cell r="A68">
            <v>266</v>
          </cell>
          <cell r="B68" t="str">
            <v>Gabon</v>
          </cell>
          <cell r="C68">
            <v>8</v>
          </cell>
          <cell r="H68">
            <v>7873.7470000000003</v>
          </cell>
          <cell r="M68">
            <v>10010.34</v>
          </cell>
          <cell r="R68">
            <v>18883.099999999999</v>
          </cell>
        </row>
        <row r="69">
          <cell r="A69">
            <v>268</v>
          </cell>
          <cell r="B69" t="str">
            <v xml:space="preserve">Georgia                                 </v>
          </cell>
          <cell r="C69">
            <v>16</v>
          </cell>
          <cell r="H69">
            <v>3962.3539999999998</v>
          </cell>
          <cell r="M69">
            <v>12786.79</v>
          </cell>
          <cell r="R69">
            <v>26702.06</v>
          </cell>
        </row>
        <row r="70">
          <cell r="A70">
            <v>270</v>
          </cell>
          <cell r="B70" t="str">
            <v xml:space="preserve">Gambia                                      </v>
          </cell>
          <cell r="C70">
            <v>8</v>
          </cell>
          <cell r="H70">
            <v>787.79070000000002</v>
          </cell>
          <cell r="M70">
            <v>2052.1149999999998</v>
          </cell>
          <cell r="R70">
            <v>9085.6389999999992</v>
          </cell>
        </row>
        <row r="71">
          <cell r="A71">
            <v>276</v>
          </cell>
          <cell r="B71" t="str">
            <v xml:space="preserve">Germany                                 </v>
          </cell>
          <cell r="C71">
            <v>11</v>
          </cell>
          <cell r="H71">
            <v>32853.47</v>
          </cell>
          <cell r="M71">
            <v>45043.72</v>
          </cell>
          <cell r="R71">
            <v>73543.58</v>
          </cell>
        </row>
        <row r="72">
          <cell r="A72">
            <v>288</v>
          </cell>
          <cell r="B72" t="str">
            <v xml:space="preserve">Ghana                                           </v>
          </cell>
          <cell r="C72">
            <v>8</v>
          </cell>
          <cell r="H72">
            <v>1536.579</v>
          </cell>
          <cell r="M72">
            <v>5952.951</v>
          </cell>
          <cell r="R72">
            <v>26676.080000000002</v>
          </cell>
        </row>
        <row r="73">
          <cell r="A73">
            <v>300</v>
          </cell>
          <cell r="B73" t="str">
            <v>Greece</v>
          </cell>
          <cell r="C73">
            <v>11</v>
          </cell>
          <cell r="H73">
            <v>23567.67</v>
          </cell>
          <cell r="M73">
            <v>31854.18</v>
          </cell>
          <cell r="R73">
            <v>61004.72</v>
          </cell>
        </row>
        <row r="74">
          <cell r="A74">
            <v>304</v>
          </cell>
          <cell r="B74" t="str">
            <v xml:space="preserve">Greenland                               </v>
          </cell>
          <cell r="C74">
            <v>27</v>
          </cell>
          <cell r="H74">
            <v>30337.75</v>
          </cell>
          <cell r="M74">
            <v>48777.644652211646</v>
          </cell>
          <cell r="R74">
            <v>93511.480043999269</v>
          </cell>
        </row>
        <row r="75">
          <cell r="A75">
            <v>308</v>
          </cell>
          <cell r="B75" t="str">
            <v xml:space="preserve">Grenada                                 </v>
          </cell>
          <cell r="C75">
            <v>4</v>
          </cell>
          <cell r="H75">
            <v>10864.32</v>
          </cell>
          <cell r="M75">
            <v>33034.407239899141</v>
          </cell>
          <cell r="R75">
            <v>117902.15323745522</v>
          </cell>
        </row>
        <row r="76">
          <cell r="A76">
            <v>312</v>
          </cell>
          <cell r="B76" t="str">
            <v xml:space="preserve">Guadeloupe                              </v>
          </cell>
          <cell r="C76">
            <v>4</v>
          </cell>
          <cell r="H76">
            <v>6365.1169174139413</v>
          </cell>
          <cell r="M76">
            <v>19353.97565147854</v>
          </cell>
          <cell r="R76">
            <v>69075.718127569067</v>
          </cell>
        </row>
        <row r="77">
          <cell r="A77">
            <v>320</v>
          </cell>
          <cell r="B77" t="str">
            <v xml:space="preserve">Guatemala                                       </v>
          </cell>
          <cell r="C77">
            <v>4</v>
          </cell>
          <cell r="H77">
            <v>6622.2150000000001</v>
          </cell>
          <cell r="M77">
            <v>26191.18</v>
          </cell>
          <cell r="R77">
            <v>143797.5</v>
          </cell>
        </row>
        <row r="78">
          <cell r="A78">
            <v>324</v>
          </cell>
          <cell r="B78" t="str">
            <v xml:space="preserve">Guinea                                          </v>
          </cell>
          <cell r="C78">
            <v>8</v>
          </cell>
          <cell r="H78">
            <v>846.12929999999994</v>
          </cell>
          <cell r="M78">
            <v>5549.2479999999996</v>
          </cell>
          <cell r="R78">
            <v>22215.71</v>
          </cell>
        </row>
        <row r="79">
          <cell r="A79">
            <v>328</v>
          </cell>
          <cell r="B79" t="str">
            <v xml:space="preserve">Guyana                                          </v>
          </cell>
          <cell r="C79">
            <v>6</v>
          </cell>
          <cell r="H79">
            <v>4298.116</v>
          </cell>
          <cell r="M79">
            <v>9654.4570000000003</v>
          </cell>
          <cell r="R79">
            <v>29870.89</v>
          </cell>
        </row>
        <row r="80">
          <cell r="A80">
            <v>332</v>
          </cell>
          <cell r="B80" t="str">
            <v xml:space="preserve">Haiti                                           </v>
          </cell>
          <cell r="C80">
            <v>4</v>
          </cell>
          <cell r="H80">
            <v>1488.9780000000001</v>
          </cell>
          <cell r="M80">
            <v>8713.3330000000005</v>
          </cell>
          <cell r="R80">
            <v>56217.31</v>
          </cell>
        </row>
        <row r="81">
          <cell r="A81">
            <v>340</v>
          </cell>
          <cell r="B81" t="str">
            <v xml:space="preserve">Honduras                                        </v>
          </cell>
          <cell r="C81">
            <v>4</v>
          </cell>
          <cell r="H81">
            <v>3859.09</v>
          </cell>
          <cell r="M81">
            <v>15377.19</v>
          </cell>
          <cell r="R81">
            <v>82774.710000000006</v>
          </cell>
        </row>
        <row r="82">
          <cell r="A82">
            <v>344</v>
          </cell>
          <cell r="B82" t="str">
            <v xml:space="preserve">Hong Kong                               </v>
          </cell>
          <cell r="C82">
            <v>20</v>
          </cell>
          <cell r="H82">
            <v>43420.17</v>
          </cell>
          <cell r="M82">
            <v>106662.3</v>
          </cell>
          <cell r="R82">
            <v>226695.9</v>
          </cell>
        </row>
        <row r="83">
          <cell r="A83">
            <v>348</v>
          </cell>
          <cell r="B83" t="str">
            <v xml:space="preserve">Hungary                                         </v>
          </cell>
          <cell r="C83">
            <v>12</v>
          </cell>
          <cell r="H83">
            <v>17415.330000000002</v>
          </cell>
          <cell r="M83">
            <v>40884.120000000003</v>
          </cell>
          <cell r="R83">
            <v>99857.96</v>
          </cell>
        </row>
        <row r="84">
          <cell r="A84">
            <v>352</v>
          </cell>
          <cell r="B84" t="str">
            <v xml:space="preserve">Iceland                                         </v>
          </cell>
          <cell r="C84">
            <v>11</v>
          </cell>
          <cell r="H84">
            <v>31081.77</v>
          </cell>
          <cell r="M84">
            <v>78947.740000000005</v>
          </cell>
          <cell r="R84">
            <v>193058.3</v>
          </cell>
        </row>
        <row r="85">
          <cell r="A85">
            <v>356</v>
          </cell>
          <cell r="B85" t="str">
            <v xml:space="preserve">India                                           </v>
          </cell>
          <cell r="C85">
            <v>18</v>
          </cell>
          <cell r="H85">
            <v>2984.3249999999998</v>
          </cell>
          <cell r="M85">
            <v>15258.29</v>
          </cell>
          <cell r="R85">
            <v>49136.67</v>
          </cell>
        </row>
        <row r="86">
          <cell r="A86">
            <v>360</v>
          </cell>
          <cell r="B86" t="str">
            <v xml:space="preserve">Indonesia                                       </v>
          </cell>
          <cell r="C86">
            <v>22</v>
          </cell>
          <cell r="H86">
            <v>4056.357</v>
          </cell>
          <cell r="M86">
            <v>19286.05</v>
          </cell>
          <cell r="R86">
            <v>57290.1</v>
          </cell>
        </row>
        <row r="87">
          <cell r="A87">
            <v>364</v>
          </cell>
          <cell r="B87" t="str">
            <v>Iran</v>
          </cell>
          <cell r="C87">
            <v>17</v>
          </cell>
          <cell r="H87">
            <v>9719.6859999999997</v>
          </cell>
          <cell r="M87">
            <v>14444.84</v>
          </cell>
          <cell r="R87">
            <v>25673.83</v>
          </cell>
        </row>
        <row r="88">
          <cell r="A88">
            <v>368</v>
          </cell>
          <cell r="B88" t="str">
            <v xml:space="preserve">Iraq                                            </v>
          </cell>
          <cell r="C88">
            <v>17</v>
          </cell>
          <cell r="H88">
            <v>7048.6670000000004</v>
          </cell>
          <cell r="M88">
            <v>16785</v>
          </cell>
          <cell r="R88">
            <v>61582.7</v>
          </cell>
        </row>
        <row r="89">
          <cell r="A89">
            <v>372</v>
          </cell>
          <cell r="B89" t="str">
            <v xml:space="preserve">Ireland                                 </v>
          </cell>
          <cell r="C89">
            <v>11</v>
          </cell>
          <cell r="H89">
            <v>35409.9</v>
          </cell>
          <cell r="M89">
            <v>90300.03</v>
          </cell>
          <cell r="R89">
            <v>187519.7</v>
          </cell>
        </row>
        <row r="90">
          <cell r="A90">
            <v>376</v>
          </cell>
          <cell r="B90" t="str">
            <v xml:space="preserve">Israel                                             </v>
          </cell>
          <cell r="C90">
            <v>17</v>
          </cell>
          <cell r="H90">
            <v>16539.22</v>
          </cell>
          <cell r="M90">
            <v>30875.11</v>
          </cell>
          <cell r="R90">
            <v>86769.96</v>
          </cell>
        </row>
        <row r="91">
          <cell r="A91">
            <v>380</v>
          </cell>
          <cell r="B91" t="str">
            <v>Italy</v>
          </cell>
          <cell r="C91">
            <v>11</v>
          </cell>
          <cell r="H91">
            <v>29052.880000000001</v>
          </cell>
          <cell r="M91">
            <v>36920.54</v>
          </cell>
          <cell r="R91">
            <v>66152.899999999994</v>
          </cell>
        </row>
        <row r="92">
          <cell r="A92">
            <v>384</v>
          </cell>
          <cell r="B92" t="str">
            <v xml:space="preserve">Cote d'Ivoire                                    </v>
          </cell>
          <cell r="C92">
            <v>8</v>
          </cell>
          <cell r="H92">
            <v>1357.1759999999999</v>
          </cell>
          <cell r="M92">
            <v>7714.076</v>
          </cell>
          <cell r="R92">
            <v>27056.66</v>
          </cell>
        </row>
        <row r="93">
          <cell r="A93">
            <v>388</v>
          </cell>
          <cell r="B93" t="str">
            <v xml:space="preserve">Jamaica                                 </v>
          </cell>
          <cell r="C93">
            <v>4</v>
          </cell>
          <cell r="H93">
            <v>7908.7160000000003</v>
          </cell>
          <cell r="M93">
            <v>13026.05</v>
          </cell>
          <cell r="R93">
            <v>38277.01</v>
          </cell>
        </row>
        <row r="94">
          <cell r="A94">
            <v>392</v>
          </cell>
          <cell r="B94" t="str">
            <v xml:space="preserve">Japan                                   </v>
          </cell>
          <cell r="C94">
            <v>23</v>
          </cell>
          <cell r="H94">
            <v>30724.65</v>
          </cell>
          <cell r="M94">
            <v>46701.72</v>
          </cell>
          <cell r="R94">
            <v>86464.16</v>
          </cell>
        </row>
        <row r="95">
          <cell r="A95">
            <v>398</v>
          </cell>
          <cell r="B95" t="str">
            <v xml:space="preserve">Kazakstan                                      </v>
          </cell>
          <cell r="C95">
            <v>15</v>
          </cell>
          <cell r="H95">
            <v>12142.31</v>
          </cell>
          <cell r="M95">
            <v>31213.86</v>
          </cell>
          <cell r="R95">
            <v>51174.84</v>
          </cell>
        </row>
        <row r="96">
          <cell r="A96">
            <v>400</v>
          </cell>
          <cell r="B96" t="str">
            <v xml:space="preserve">Jordan                                 </v>
          </cell>
          <cell r="C96">
            <v>17</v>
          </cell>
          <cell r="H96">
            <v>5020.7020000000002</v>
          </cell>
          <cell r="M96">
            <v>15339.28</v>
          </cell>
          <cell r="R96">
            <v>53842.19</v>
          </cell>
        </row>
        <row r="97">
          <cell r="A97">
            <v>404</v>
          </cell>
          <cell r="B97" t="str">
            <v xml:space="preserve">Kenya                                           </v>
          </cell>
          <cell r="C97">
            <v>9</v>
          </cell>
          <cell r="H97">
            <v>1531.06</v>
          </cell>
          <cell r="M97">
            <v>6222.5770000000002</v>
          </cell>
          <cell r="R97">
            <v>48745.89</v>
          </cell>
        </row>
        <row r="98">
          <cell r="A98">
            <v>408</v>
          </cell>
          <cell r="B98" t="str">
            <v>Korea. Dem. People's Rep. of</v>
          </cell>
          <cell r="C98">
            <v>19</v>
          </cell>
          <cell r="H98">
            <v>529.63570000000004</v>
          </cell>
          <cell r="M98">
            <v>1041.26</v>
          </cell>
          <cell r="R98">
            <v>1954.11</v>
          </cell>
        </row>
        <row r="99">
          <cell r="A99">
            <v>410</v>
          </cell>
          <cell r="B99" t="str">
            <v>Korea. Republic of</v>
          </cell>
          <cell r="C99">
            <v>19</v>
          </cell>
          <cell r="H99">
            <v>27479.599999999999</v>
          </cell>
          <cell r="M99">
            <v>64565.58</v>
          </cell>
          <cell r="R99">
            <v>121168.8</v>
          </cell>
        </row>
        <row r="100">
          <cell r="A100">
            <v>414</v>
          </cell>
          <cell r="B100" t="str">
            <v xml:space="preserve">Kuwait                                             </v>
          </cell>
          <cell r="C100">
            <v>17</v>
          </cell>
          <cell r="H100">
            <v>40382.01</v>
          </cell>
          <cell r="M100">
            <v>55903.15</v>
          </cell>
          <cell r="R100">
            <v>82266.490000000005</v>
          </cell>
        </row>
        <row r="101">
          <cell r="A101">
            <v>417</v>
          </cell>
          <cell r="B101" t="str">
            <v>Kyrgyzstan</v>
          </cell>
          <cell r="C101">
            <v>15</v>
          </cell>
          <cell r="H101">
            <v>1686.5530000000001</v>
          </cell>
          <cell r="M101">
            <v>7488.0060000000003</v>
          </cell>
          <cell r="R101">
            <v>27572.48</v>
          </cell>
        </row>
        <row r="102">
          <cell r="A102">
            <v>418</v>
          </cell>
          <cell r="B102" t="str">
            <v>Lao People's Dem. Rep.</v>
          </cell>
          <cell r="C102">
            <v>21</v>
          </cell>
          <cell r="H102">
            <v>2548.6289999999999</v>
          </cell>
          <cell r="M102">
            <v>14424.51</v>
          </cell>
          <cell r="R102">
            <v>55760.08</v>
          </cell>
        </row>
        <row r="103">
          <cell r="A103">
            <v>422</v>
          </cell>
          <cell r="B103" t="str">
            <v>Lebanon</v>
          </cell>
          <cell r="C103">
            <v>17</v>
          </cell>
          <cell r="H103">
            <v>7719.5020000000004</v>
          </cell>
          <cell r="M103">
            <v>9477.5529999999999</v>
          </cell>
          <cell r="R103">
            <v>15212.82</v>
          </cell>
        </row>
        <row r="104">
          <cell r="A104">
            <v>426</v>
          </cell>
          <cell r="B104" t="str">
            <v xml:space="preserve">Lesotho                                          </v>
          </cell>
          <cell r="C104">
            <v>26</v>
          </cell>
          <cell r="H104">
            <v>1612.0889999999999</v>
          </cell>
          <cell r="M104">
            <v>4306.5110000000004</v>
          </cell>
          <cell r="R104">
            <v>20209.310000000001</v>
          </cell>
        </row>
        <row r="105">
          <cell r="A105">
            <v>428</v>
          </cell>
          <cell r="B105" t="str">
            <v xml:space="preserve">Latvia                                          </v>
          </cell>
          <cell r="C105">
            <v>12</v>
          </cell>
          <cell r="H105">
            <v>13942.94</v>
          </cell>
          <cell r="M105">
            <v>36201.620000000003</v>
          </cell>
          <cell r="R105">
            <v>70012</v>
          </cell>
        </row>
        <row r="106">
          <cell r="A106">
            <v>430</v>
          </cell>
          <cell r="B106" t="str">
            <v xml:space="preserve">Liberia                                         </v>
          </cell>
          <cell r="C106">
            <v>8</v>
          </cell>
          <cell r="H106">
            <v>559.25909999999999</v>
          </cell>
          <cell r="M106">
            <v>3574.5160000000001</v>
          </cell>
          <cell r="R106">
            <v>28617.66</v>
          </cell>
        </row>
        <row r="107">
          <cell r="A107">
            <v>434</v>
          </cell>
          <cell r="B107" t="str">
            <v>Libyan Arab Jamahiriya</v>
          </cell>
          <cell r="C107">
            <v>7</v>
          </cell>
          <cell r="H107">
            <v>16087.14</v>
          </cell>
          <cell r="M107">
            <v>17404.419999999998</v>
          </cell>
          <cell r="R107">
            <v>38930.5</v>
          </cell>
        </row>
        <row r="108">
          <cell r="A108">
            <v>438</v>
          </cell>
          <cell r="B108" t="str">
            <v xml:space="preserve">Liechtenstein                               </v>
          </cell>
          <cell r="C108">
            <v>11</v>
          </cell>
          <cell r="H108">
            <v>129186.7</v>
          </cell>
          <cell r="M108">
            <v>207709.02470229246</v>
          </cell>
          <cell r="R108">
            <v>398198.36437154212</v>
          </cell>
        </row>
        <row r="109">
          <cell r="A109">
            <v>440</v>
          </cell>
          <cell r="B109" t="str">
            <v xml:space="preserve">Lithuania                                       </v>
          </cell>
          <cell r="C109">
            <v>12</v>
          </cell>
          <cell r="H109">
            <v>16121.48</v>
          </cell>
          <cell r="M109">
            <v>38452.629999999997</v>
          </cell>
          <cell r="R109">
            <v>67075.13</v>
          </cell>
        </row>
        <row r="110">
          <cell r="A110">
            <v>442</v>
          </cell>
          <cell r="B110" t="str">
            <v xml:space="preserve">Luxembourg                                   </v>
          </cell>
          <cell r="C110">
            <v>11</v>
          </cell>
          <cell r="H110">
            <v>73551.11</v>
          </cell>
          <cell r="M110">
            <v>117324.6</v>
          </cell>
          <cell r="R110">
            <v>190487.4</v>
          </cell>
        </row>
        <row r="111">
          <cell r="A111">
            <v>450</v>
          </cell>
          <cell r="B111" t="str">
            <v xml:space="preserve">Madagascar                                      </v>
          </cell>
          <cell r="C111">
            <v>9</v>
          </cell>
          <cell r="H111">
            <v>870.98199999999997</v>
          </cell>
          <cell r="M111">
            <v>4051.1239999999998</v>
          </cell>
          <cell r="R111">
            <v>48203.31</v>
          </cell>
        </row>
        <row r="112">
          <cell r="A112">
            <v>454</v>
          </cell>
          <cell r="B112" t="str">
            <v xml:space="preserve">Malawi                                          </v>
          </cell>
          <cell r="C112">
            <v>26</v>
          </cell>
          <cell r="H112">
            <v>718.12249999999995</v>
          </cell>
          <cell r="M112">
            <v>3317.7179999999998</v>
          </cell>
          <cell r="R112">
            <v>35884.339999999997</v>
          </cell>
        </row>
        <row r="113">
          <cell r="A113">
            <v>458</v>
          </cell>
          <cell r="B113" t="str">
            <v xml:space="preserve">Malaysia                                </v>
          </cell>
          <cell r="C113">
            <v>21</v>
          </cell>
          <cell r="H113">
            <v>12713.82</v>
          </cell>
          <cell r="M113">
            <v>42369.91</v>
          </cell>
          <cell r="R113">
            <v>110417.2</v>
          </cell>
        </row>
        <row r="114">
          <cell r="A114">
            <v>466</v>
          </cell>
          <cell r="B114" t="str">
            <v xml:space="preserve">Mali                                            </v>
          </cell>
          <cell r="C114">
            <v>8</v>
          </cell>
          <cell r="H114">
            <v>952.09259999999995</v>
          </cell>
          <cell r="M114">
            <v>3734.53</v>
          </cell>
          <cell r="R114">
            <v>26829.89</v>
          </cell>
        </row>
        <row r="115">
          <cell r="A115">
            <v>470</v>
          </cell>
          <cell r="B115" t="str">
            <v xml:space="preserve">Malta                                           </v>
          </cell>
          <cell r="C115">
            <v>12</v>
          </cell>
          <cell r="H115">
            <v>22791.11</v>
          </cell>
          <cell r="M115">
            <v>52906.68</v>
          </cell>
          <cell r="R115">
            <v>83131.75</v>
          </cell>
        </row>
        <row r="116">
          <cell r="A116">
            <v>474</v>
          </cell>
          <cell r="B116" t="str">
            <v xml:space="preserve">Martinique                              </v>
          </cell>
          <cell r="C116">
            <v>4</v>
          </cell>
          <cell r="H116">
            <v>6365.1169174139413</v>
          </cell>
          <cell r="M116">
            <v>19353.97565147854</v>
          </cell>
          <cell r="R116">
            <v>69075.718127569067</v>
          </cell>
        </row>
        <row r="117">
          <cell r="A117">
            <v>478</v>
          </cell>
          <cell r="B117" t="str">
            <v xml:space="preserve">Mauritania                              </v>
          </cell>
          <cell r="C117">
            <v>8</v>
          </cell>
          <cell r="H117">
            <v>1739.729</v>
          </cell>
          <cell r="M117">
            <v>4437.2560000000003</v>
          </cell>
          <cell r="R117">
            <v>16430.2</v>
          </cell>
        </row>
        <row r="118">
          <cell r="A118">
            <v>480</v>
          </cell>
          <cell r="B118" t="str">
            <v xml:space="preserve">Mauritius                                       </v>
          </cell>
          <cell r="C118">
            <v>9</v>
          </cell>
          <cell r="H118">
            <v>10037.86</v>
          </cell>
          <cell r="M118">
            <v>18359</v>
          </cell>
          <cell r="R118">
            <v>44568.08</v>
          </cell>
        </row>
        <row r="119">
          <cell r="A119">
            <v>484</v>
          </cell>
          <cell r="B119" t="str">
            <v>Mexico</v>
          </cell>
          <cell r="C119">
            <v>3</v>
          </cell>
          <cell r="H119">
            <v>12513.06</v>
          </cell>
          <cell r="M119">
            <v>24386.48</v>
          </cell>
          <cell r="R119">
            <v>64433.72</v>
          </cell>
        </row>
        <row r="120">
          <cell r="A120">
            <v>496</v>
          </cell>
          <cell r="B120" t="str">
            <v xml:space="preserve">Mongolia                                </v>
          </cell>
          <cell r="C120">
            <v>20</v>
          </cell>
          <cell r="H120">
            <v>6881.7629999999999</v>
          </cell>
          <cell r="M120">
            <v>57696.75</v>
          </cell>
          <cell r="R120">
            <v>219378.2</v>
          </cell>
        </row>
        <row r="121">
          <cell r="A121">
            <v>498</v>
          </cell>
          <cell r="B121" t="str">
            <v>Moldova</v>
          </cell>
          <cell r="C121">
            <v>14</v>
          </cell>
          <cell r="H121">
            <v>2638.721</v>
          </cell>
          <cell r="M121">
            <v>10479.34</v>
          </cell>
          <cell r="R121">
            <v>20937.419999999998</v>
          </cell>
        </row>
        <row r="122">
          <cell r="A122">
            <v>500</v>
          </cell>
          <cell r="B122" t="str">
            <v xml:space="preserve">Montserrat                              </v>
          </cell>
          <cell r="C122">
            <v>4</v>
          </cell>
          <cell r="H122">
            <v>11520.82</v>
          </cell>
          <cell r="M122">
            <v>35030.563716696655</v>
          </cell>
          <cell r="R122">
            <v>125026.57793514014</v>
          </cell>
        </row>
        <row r="123">
          <cell r="A123">
            <v>504</v>
          </cell>
          <cell r="B123" t="str">
            <v xml:space="preserve">Morocco                                          </v>
          </cell>
          <cell r="C123">
            <v>7</v>
          </cell>
          <cell r="H123">
            <v>3573.799</v>
          </cell>
          <cell r="M123">
            <v>12326.09</v>
          </cell>
          <cell r="R123">
            <v>34743.949999999997</v>
          </cell>
        </row>
        <row r="124">
          <cell r="A124">
            <v>508</v>
          </cell>
          <cell r="B124" t="str">
            <v xml:space="preserve">Mozambique                                      </v>
          </cell>
          <cell r="C124">
            <v>26</v>
          </cell>
          <cell r="H124">
            <v>629.5693</v>
          </cell>
          <cell r="M124">
            <v>2683.087</v>
          </cell>
          <cell r="R124">
            <v>19400.990000000002</v>
          </cell>
        </row>
        <row r="125">
          <cell r="A125">
            <v>512</v>
          </cell>
          <cell r="B125" t="str">
            <v xml:space="preserve">Oman                                           </v>
          </cell>
          <cell r="C125">
            <v>17</v>
          </cell>
          <cell r="H125">
            <v>24293.64</v>
          </cell>
          <cell r="M125">
            <v>29887.79</v>
          </cell>
          <cell r="R125">
            <v>64514.239999999998</v>
          </cell>
        </row>
        <row r="126">
          <cell r="A126">
            <v>516</v>
          </cell>
          <cell r="B126" t="str">
            <v xml:space="preserve">Namibia                                         </v>
          </cell>
          <cell r="C126">
            <v>26</v>
          </cell>
          <cell r="H126">
            <v>5783.17</v>
          </cell>
          <cell r="M126">
            <v>10924.87</v>
          </cell>
          <cell r="R126">
            <v>21880.43</v>
          </cell>
        </row>
        <row r="127">
          <cell r="A127">
            <v>524</v>
          </cell>
          <cell r="B127" t="str">
            <v xml:space="preserve">Nepal                                            </v>
          </cell>
          <cell r="C127">
            <v>25</v>
          </cell>
          <cell r="H127">
            <v>1114.807</v>
          </cell>
          <cell r="M127">
            <v>5451.7209999999995</v>
          </cell>
          <cell r="R127">
            <v>35473.43</v>
          </cell>
        </row>
        <row r="128">
          <cell r="A128">
            <v>528</v>
          </cell>
          <cell r="B128" t="str">
            <v xml:space="preserve">Netherlands                                  </v>
          </cell>
          <cell r="C128">
            <v>11</v>
          </cell>
          <cell r="H128">
            <v>36416.82</v>
          </cell>
          <cell r="M128">
            <v>56771.83</v>
          </cell>
          <cell r="R128">
            <v>108945.7</v>
          </cell>
        </row>
        <row r="129">
          <cell r="A129">
            <v>530</v>
          </cell>
          <cell r="B129" t="str">
            <v xml:space="preserve">Netherlands Antilles                    </v>
          </cell>
          <cell r="C129">
            <v>4</v>
          </cell>
          <cell r="H129">
            <v>6365.1169174139413</v>
          </cell>
          <cell r="M129">
            <v>19353.97565147854</v>
          </cell>
          <cell r="R129">
            <v>69075.718127569067</v>
          </cell>
        </row>
        <row r="130">
          <cell r="A130">
            <v>533</v>
          </cell>
          <cell r="B130" t="str">
            <v xml:space="preserve">Aruba                                   </v>
          </cell>
          <cell r="C130">
            <v>4</v>
          </cell>
          <cell r="H130">
            <v>33967.8064327998</v>
          </cell>
          <cell r="M130">
            <v>148368.330510589</v>
          </cell>
          <cell r="R130">
            <v>898024.68000994402</v>
          </cell>
        </row>
        <row r="131">
          <cell r="A131">
            <v>540</v>
          </cell>
          <cell r="B131" t="str">
            <v xml:space="preserve">New Caledonia                           </v>
          </cell>
          <cell r="C131">
            <v>24</v>
          </cell>
          <cell r="H131">
            <v>29681.919999999998</v>
          </cell>
          <cell r="M131">
            <v>53575.44</v>
          </cell>
          <cell r="R131">
            <v>87200.93</v>
          </cell>
        </row>
        <row r="132">
          <cell r="A132">
            <v>548</v>
          </cell>
          <cell r="B132" t="str">
            <v xml:space="preserve">Vanuatu                                         </v>
          </cell>
          <cell r="C132">
            <v>24</v>
          </cell>
          <cell r="H132">
            <v>2303.0630000000001</v>
          </cell>
          <cell r="M132">
            <v>6982.9750000000004</v>
          </cell>
          <cell r="R132">
            <v>33272.85</v>
          </cell>
        </row>
        <row r="133">
          <cell r="A133">
            <v>554</v>
          </cell>
          <cell r="B133" t="str">
            <v xml:space="preserve">New Zealand                             </v>
          </cell>
          <cell r="C133">
            <v>24</v>
          </cell>
          <cell r="H133">
            <v>24972.67</v>
          </cell>
          <cell r="M133">
            <v>37921.339999999997</v>
          </cell>
          <cell r="R133">
            <v>83576.02</v>
          </cell>
        </row>
        <row r="134">
          <cell r="A134">
            <v>558</v>
          </cell>
          <cell r="B134" t="str">
            <v xml:space="preserve">Nicaragua                                       </v>
          </cell>
          <cell r="C134">
            <v>4</v>
          </cell>
          <cell r="H134">
            <v>3914.7049999999999</v>
          </cell>
          <cell r="M134">
            <v>19701.810000000001</v>
          </cell>
          <cell r="R134">
            <v>94447.17</v>
          </cell>
        </row>
        <row r="135">
          <cell r="A135">
            <v>562</v>
          </cell>
          <cell r="B135" t="str">
            <v xml:space="preserve">Niger                                       </v>
          </cell>
          <cell r="C135">
            <v>8</v>
          </cell>
          <cell r="H135">
            <v>412.43299999999999</v>
          </cell>
          <cell r="M135">
            <v>1972.8309999999999</v>
          </cell>
          <cell r="R135">
            <v>27990.59</v>
          </cell>
        </row>
        <row r="136">
          <cell r="A136">
            <v>566</v>
          </cell>
          <cell r="B136" t="str">
            <v xml:space="preserve">Nigeria                                 </v>
          </cell>
          <cell r="C136">
            <v>8</v>
          </cell>
          <cell r="H136">
            <v>2582.029</v>
          </cell>
          <cell r="M136">
            <v>8625.1980000000003</v>
          </cell>
          <cell r="R136">
            <v>52593.67</v>
          </cell>
        </row>
        <row r="137">
          <cell r="A137">
            <v>578</v>
          </cell>
          <cell r="B137" t="str">
            <v xml:space="preserve">Norway                                           </v>
          </cell>
          <cell r="C137">
            <v>11</v>
          </cell>
          <cell r="H137">
            <v>50113.64</v>
          </cell>
          <cell r="M137">
            <v>74302.55</v>
          </cell>
          <cell r="R137">
            <v>164475</v>
          </cell>
        </row>
        <row r="138">
          <cell r="A138">
            <v>586</v>
          </cell>
          <cell r="B138" t="str">
            <v xml:space="preserve">Pakistan                                </v>
          </cell>
          <cell r="C138">
            <v>25</v>
          </cell>
          <cell r="H138">
            <v>2284.9160000000002</v>
          </cell>
          <cell r="M138">
            <v>8487.1090000000004</v>
          </cell>
          <cell r="R138">
            <v>43107.7</v>
          </cell>
        </row>
        <row r="139">
          <cell r="A139">
            <v>591</v>
          </cell>
          <cell r="B139" t="str">
            <v xml:space="preserve">Panama                                          </v>
          </cell>
          <cell r="C139">
            <v>4</v>
          </cell>
          <cell r="H139">
            <v>15417.08</v>
          </cell>
          <cell r="M139">
            <v>58182.5</v>
          </cell>
          <cell r="R139">
            <v>132699.6</v>
          </cell>
        </row>
        <row r="140">
          <cell r="A140">
            <v>598</v>
          </cell>
          <cell r="B140" t="str">
            <v xml:space="preserve">Papua New Guinea                                            </v>
          </cell>
          <cell r="C140">
            <v>22</v>
          </cell>
          <cell r="H140">
            <v>1488.3710000000001</v>
          </cell>
          <cell r="M140">
            <v>7824.0590000000002</v>
          </cell>
          <cell r="R140">
            <v>50819.21</v>
          </cell>
        </row>
        <row r="141">
          <cell r="A141">
            <v>600</v>
          </cell>
          <cell r="B141" t="str">
            <v xml:space="preserve">Paraguay                                        </v>
          </cell>
          <cell r="C141">
            <v>6</v>
          </cell>
          <cell r="H141">
            <v>7186.8680000000004</v>
          </cell>
          <cell r="M141">
            <v>25557.73</v>
          </cell>
          <cell r="R141">
            <v>100615.7</v>
          </cell>
        </row>
        <row r="142">
          <cell r="A142">
            <v>604</v>
          </cell>
          <cell r="B142" t="str">
            <v xml:space="preserve">Peru                                            </v>
          </cell>
          <cell r="C142">
            <v>6</v>
          </cell>
          <cell r="H142">
            <v>7433.6959999999999</v>
          </cell>
          <cell r="M142">
            <v>17973.41</v>
          </cell>
          <cell r="R142">
            <v>40575.379999999997</v>
          </cell>
        </row>
        <row r="143">
          <cell r="A143">
            <v>608</v>
          </cell>
          <cell r="B143" t="str">
            <v xml:space="preserve">Philippines                                 </v>
          </cell>
          <cell r="C143">
            <v>21</v>
          </cell>
          <cell r="H143">
            <v>3374.0529999999999</v>
          </cell>
          <cell r="M143">
            <v>14529.59</v>
          </cell>
          <cell r="R143">
            <v>65513.3</v>
          </cell>
        </row>
        <row r="144">
          <cell r="A144">
            <v>616</v>
          </cell>
          <cell r="B144" t="str">
            <v xml:space="preserve">Poland                                          </v>
          </cell>
          <cell r="C144">
            <v>12</v>
          </cell>
          <cell r="H144">
            <v>16674.099999999999</v>
          </cell>
          <cell r="M144">
            <v>39487.769999999997</v>
          </cell>
          <cell r="R144">
            <v>75156.97</v>
          </cell>
        </row>
        <row r="145">
          <cell r="A145">
            <v>620</v>
          </cell>
          <cell r="B145" t="str">
            <v>Portugal</v>
          </cell>
          <cell r="C145">
            <v>11</v>
          </cell>
          <cell r="H145">
            <v>21830.19</v>
          </cell>
          <cell r="M145">
            <v>33954.17</v>
          </cell>
          <cell r="R145">
            <v>71028.7</v>
          </cell>
        </row>
        <row r="146">
          <cell r="A146">
            <v>624</v>
          </cell>
          <cell r="B146" t="str">
            <v xml:space="preserve">Guinea-Bissau                                   </v>
          </cell>
          <cell r="C146">
            <v>8</v>
          </cell>
          <cell r="H146">
            <v>726.54920000000004</v>
          </cell>
          <cell r="M146">
            <v>2750.2260000000001</v>
          </cell>
          <cell r="R146">
            <v>16433.27</v>
          </cell>
        </row>
        <row r="147">
          <cell r="A147">
            <v>626</v>
          </cell>
          <cell r="B147" t="str">
            <v>East Timor</v>
          </cell>
          <cell r="C147">
            <v>22</v>
          </cell>
          <cell r="H147">
            <v>5433.99</v>
          </cell>
          <cell r="M147">
            <v>24610.69</v>
          </cell>
          <cell r="R147">
            <v>180996.8</v>
          </cell>
        </row>
        <row r="148">
          <cell r="A148">
            <v>630</v>
          </cell>
          <cell r="B148" t="str">
            <v xml:space="preserve">Puerto Rico                                                 </v>
          </cell>
          <cell r="C148">
            <v>4</v>
          </cell>
          <cell r="H148">
            <v>34784.35</v>
          </cell>
          <cell r="M148">
            <v>46241.99</v>
          </cell>
          <cell r="R148">
            <v>61421.11</v>
          </cell>
        </row>
        <row r="149">
          <cell r="A149">
            <v>634</v>
          </cell>
          <cell r="B149" t="str">
            <v xml:space="preserve">Qatar                                              </v>
          </cell>
          <cell r="C149">
            <v>17</v>
          </cell>
          <cell r="H149">
            <v>64288.36</v>
          </cell>
          <cell r="M149">
            <v>65277.57</v>
          </cell>
          <cell r="R149">
            <v>79662.570000000007</v>
          </cell>
        </row>
        <row r="150">
          <cell r="A150">
            <v>638</v>
          </cell>
          <cell r="B150" t="str">
            <v xml:space="preserve">Reunion                                 </v>
          </cell>
          <cell r="C150">
            <v>9</v>
          </cell>
          <cell r="H150">
            <v>1236.270494764359</v>
          </cell>
          <cell r="M150">
            <v>5487.7242677563136</v>
          </cell>
          <cell r="R150">
            <v>36614.688492956018</v>
          </cell>
        </row>
        <row r="151">
          <cell r="A151">
            <v>642</v>
          </cell>
          <cell r="B151" t="str">
            <v xml:space="preserve">Romania                                 </v>
          </cell>
          <cell r="C151">
            <v>12</v>
          </cell>
          <cell r="H151">
            <v>13332.35</v>
          </cell>
          <cell r="M151">
            <v>36599.94</v>
          </cell>
          <cell r="R151">
            <v>72339.75</v>
          </cell>
        </row>
        <row r="152">
          <cell r="A152">
            <v>643</v>
          </cell>
          <cell r="B152" t="str">
            <v xml:space="preserve">Russian Federation                      </v>
          </cell>
          <cell r="C152">
            <v>16</v>
          </cell>
          <cell r="H152">
            <v>14134.47</v>
          </cell>
          <cell r="M152">
            <v>30427.51</v>
          </cell>
          <cell r="R152">
            <v>56539.9</v>
          </cell>
        </row>
        <row r="153">
          <cell r="A153">
            <v>646</v>
          </cell>
          <cell r="B153" t="str">
            <v>Rwanda</v>
          </cell>
          <cell r="C153">
            <v>9</v>
          </cell>
          <cell r="H153">
            <v>877.72050000000002</v>
          </cell>
          <cell r="M153">
            <v>4925.4549999999999</v>
          </cell>
          <cell r="R153">
            <v>43851.01</v>
          </cell>
        </row>
        <row r="154">
          <cell r="A154">
            <v>659</v>
          </cell>
          <cell r="B154" t="str">
            <v xml:space="preserve">Saint Kitts and Nevis </v>
          </cell>
          <cell r="C154">
            <v>4</v>
          </cell>
          <cell r="H154">
            <v>24241.51</v>
          </cell>
          <cell r="M154">
            <v>73709.511164694457</v>
          </cell>
          <cell r="R154">
            <v>263074.49736531905</v>
          </cell>
        </row>
        <row r="155">
          <cell r="A155">
            <v>660</v>
          </cell>
          <cell r="B155" t="str">
            <v xml:space="preserve">Anguilla                                </v>
          </cell>
          <cell r="C155">
            <v>4</v>
          </cell>
          <cell r="H155">
            <v>20258.563732397</v>
          </cell>
          <cell r="M155">
            <v>61598.829102111129</v>
          </cell>
          <cell r="R155">
            <v>219850.61016239674</v>
          </cell>
        </row>
        <row r="156">
          <cell r="A156">
            <v>662</v>
          </cell>
          <cell r="B156" t="str">
            <v xml:space="preserve">Saint Lucia                             </v>
          </cell>
          <cell r="C156">
            <v>4</v>
          </cell>
          <cell r="H156">
            <v>11526.27</v>
          </cell>
          <cell r="M156">
            <v>26598.05</v>
          </cell>
          <cell r="R156">
            <v>83008.73</v>
          </cell>
        </row>
        <row r="157">
          <cell r="A157">
            <v>666</v>
          </cell>
          <cell r="B157" t="str">
            <v xml:space="preserve">Saint Pierre and Miquelon    </v>
          </cell>
          <cell r="C157">
            <v>2</v>
          </cell>
          <cell r="H157">
            <v>42164.29388287825</v>
          </cell>
          <cell r="M157">
            <v>66926.432827459634</v>
          </cell>
          <cell r="R157">
            <v>88980.064955827256</v>
          </cell>
        </row>
        <row r="158">
          <cell r="A158">
            <v>670</v>
          </cell>
          <cell r="B158" t="str">
            <v>Saint Vincent &amp; the Grenadines</v>
          </cell>
          <cell r="C158">
            <v>4</v>
          </cell>
          <cell r="H158">
            <v>9875.2620000000006</v>
          </cell>
          <cell r="M158">
            <v>17000.86</v>
          </cell>
          <cell r="R158">
            <v>43615.21</v>
          </cell>
        </row>
        <row r="159">
          <cell r="A159">
            <v>678</v>
          </cell>
          <cell r="B159" t="str">
            <v xml:space="preserve">Sao Tome and Principe                </v>
          </cell>
          <cell r="C159">
            <v>8</v>
          </cell>
          <cell r="H159">
            <v>1299.5719999999999</v>
          </cell>
          <cell r="M159">
            <v>4187.6610000000001</v>
          </cell>
          <cell r="R159">
            <v>9189.482</v>
          </cell>
        </row>
        <row r="160">
          <cell r="A160">
            <v>682</v>
          </cell>
          <cell r="B160" t="str">
            <v xml:space="preserve">Saudi Arabia                                     </v>
          </cell>
          <cell r="C160">
            <v>17</v>
          </cell>
          <cell r="H160">
            <v>24342.93</v>
          </cell>
          <cell r="M160">
            <v>39535.730000000003</v>
          </cell>
          <cell r="R160">
            <v>75211.02</v>
          </cell>
        </row>
        <row r="161">
          <cell r="A161">
            <v>686</v>
          </cell>
          <cell r="B161" t="str">
            <v xml:space="preserve">Senegal                                         </v>
          </cell>
          <cell r="C161">
            <v>8</v>
          </cell>
          <cell r="H161">
            <v>1409.3140000000001</v>
          </cell>
          <cell r="M161">
            <v>4521.567</v>
          </cell>
          <cell r="R161">
            <v>25433.48</v>
          </cell>
        </row>
        <row r="162">
          <cell r="A162">
            <v>694</v>
          </cell>
          <cell r="B162" t="str">
            <v xml:space="preserve">Sierra Leone                                    </v>
          </cell>
          <cell r="C162">
            <v>8</v>
          </cell>
          <cell r="H162">
            <v>613.36530000000005</v>
          </cell>
          <cell r="M162">
            <v>2285.5610000000001</v>
          </cell>
          <cell r="R162">
            <v>14016.2</v>
          </cell>
        </row>
        <row r="163">
          <cell r="A163">
            <v>702</v>
          </cell>
          <cell r="B163" t="str">
            <v xml:space="preserve">Singapore                                       </v>
          </cell>
          <cell r="C163">
            <v>21</v>
          </cell>
          <cell r="H163">
            <v>43124.01</v>
          </cell>
          <cell r="M163">
            <v>69051.63</v>
          </cell>
          <cell r="R163">
            <v>79054.75</v>
          </cell>
        </row>
        <row r="164">
          <cell r="A164">
            <v>703</v>
          </cell>
          <cell r="B164" t="str">
            <v>Slovakia</v>
          </cell>
          <cell r="C164">
            <v>12</v>
          </cell>
          <cell r="H164">
            <v>19368.45</v>
          </cell>
          <cell r="M164">
            <v>49060.18</v>
          </cell>
          <cell r="R164">
            <v>105512.8</v>
          </cell>
        </row>
        <row r="165">
          <cell r="A165">
            <v>704</v>
          </cell>
          <cell r="B165" t="str">
            <v xml:space="preserve">Viet Nam                              </v>
          </cell>
          <cell r="C165">
            <v>21</v>
          </cell>
          <cell r="H165">
            <v>2679.5639999999999</v>
          </cell>
          <cell r="M165">
            <v>12191.06</v>
          </cell>
          <cell r="R165">
            <v>33715.42</v>
          </cell>
        </row>
        <row r="166">
          <cell r="A166">
            <v>705</v>
          </cell>
          <cell r="B166" t="str">
            <v xml:space="preserve">Slovenia                                        </v>
          </cell>
          <cell r="C166">
            <v>12</v>
          </cell>
          <cell r="H166">
            <v>22187.25</v>
          </cell>
          <cell r="M166">
            <v>46357.919999999998</v>
          </cell>
          <cell r="R166">
            <v>113083.7</v>
          </cell>
        </row>
        <row r="167">
          <cell r="A167">
            <v>706</v>
          </cell>
          <cell r="B167" t="str">
            <v>Somalia</v>
          </cell>
          <cell r="C167">
            <v>9</v>
          </cell>
          <cell r="H167">
            <v>58.742130000000003</v>
          </cell>
          <cell r="M167">
            <v>357.1037</v>
          </cell>
          <cell r="R167">
            <v>7217.9219999999996</v>
          </cell>
        </row>
        <row r="168">
          <cell r="A168">
            <v>710</v>
          </cell>
          <cell r="B168" t="str">
            <v xml:space="preserve">South Africa                                    </v>
          </cell>
          <cell r="C168">
            <v>10</v>
          </cell>
          <cell r="H168">
            <v>9201.9719999999998</v>
          </cell>
          <cell r="M168">
            <v>18557.060000000001</v>
          </cell>
          <cell r="R168">
            <v>42759.199999999997</v>
          </cell>
        </row>
        <row r="169">
          <cell r="A169">
            <v>716</v>
          </cell>
          <cell r="B169" t="str">
            <v xml:space="preserve">Zimbabwe                                        </v>
          </cell>
          <cell r="C169">
            <v>26</v>
          </cell>
          <cell r="H169">
            <v>1284.9159999999999</v>
          </cell>
          <cell r="M169">
            <v>5214.5879999999997</v>
          </cell>
          <cell r="R169">
            <v>34893.050000000003</v>
          </cell>
        </row>
        <row r="170">
          <cell r="A170">
            <v>724</v>
          </cell>
          <cell r="B170" t="str">
            <v xml:space="preserve">Spain                                            </v>
          </cell>
          <cell r="C170">
            <v>11</v>
          </cell>
          <cell r="H170">
            <v>25912.28</v>
          </cell>
          <cell r="M170">
            <v>35721.18</v>
          </cell>
          <cell r="R170">
            <v>69522.990000000005</v>
          </cell>
        </row>
        <row r="171">
          <cell r="A171">
            <v>732</v>
          </cell>
          <cell r="B171" t="str">
            <v xml:space="preserve">Western Sahara                          </v>
          </cell>
          <cell r="C171">
            <v>7</v>
          </cell>
          <cell r="H171">
            <v>6317.7444196440956</v>
          </cell>
          <cell r="M171">
            <v>19778.682851002886</v>
          </cell>
          <cell r="R171">
            <v>58242.792145836444</v>
          </cell>
        </row>
        <row r="172">
          <cell r="A172">
            <v>736</v>
          </cell>
          <cell r="B172" t="str">
            <v xml:space="preserve">Sudan                                       </v>
          </cell>
          <cell r="C172">
            <v>9</v>
          </cell>
          <cell r="H172">
            <v>2722.6280000000002</v>
          </cell>
          <cell r="M172">
            <v>9729.9030000000002</v>
          </cell>
          <cell r="R172">
            <v>84218.07</v>
          </cell>
        </row>
        <row r="173">
          <cell r="A173">
            <v>740</v>
          </cell>
          <cell r="B173" t="str">
            <v xml:space="preserve">Suriname                                        </v>
          </cell>
          <cell r="C173">
            <v>6</v>
          </cell>
          <cell r="H173">
            <v>10425.59</v>
          </cell>
          <cell r="M173">
            <v>21896.22</v>
          </cell>
          <cell r="R173">
            <v>60307.08</v>
          </cell>
        </row>
        <row r="174">
          <cell r="A174">
            <v>748</v>
          </cell>
          <cell r="B174" t="str">
            <v xml:space="preserve">Swaziland                                        </v>
          </cell>
          <cell r="C174">
            <v>26</v>
          </cell>
          <cell r="H174">
            <v>5492.924</v>
          </cell>
          <cell r="M174">
            <v>9796.759</v>
          </cell>
          <cell r="R174">
            <v>31365.42</v>
          </cell>
        </row>
        <row r="175">
          <cell r="A175">
            <v>752</v>
          </cell>
          <cell r="B175" t="str">
            <v xml:space="preserve">Sweden                                           </v>
          </cell>
          <cell r="C175">
            <v>11</v>
          </cell>
          <cell r="H175">
            <v>34446.730000000003</v>
          </cell>
          <cell r="M175">
            <v>63413.17</v>
          </cell>
          <cell r="R175">
            <v>137070.79999999999</v>
          </cell>
        </row>
        <row r="176">
          <cell r="A176">
            <v>756</v>
          </cell>
          <cell r="B176" t="str">
            <v>Switzerland</v>
          </cell>
          <cell r="C176">
            <v>11</v>
          </cell>
          <cell r="H176">
            <v>44964.4</v>
          </cell>
          <cell r="M176">
            <v>69477.19</v>
          </cell>
          <cell r="R176">
            <v>137902.20000000001</v>
          </cell>
        </row>
        <row r="177">
          <cell r="A177">
            <v>760</v>
          </cell>
          <cell r="B177" t="str">
            <v>Syria</v>
          </cell>
          <cell r="C177">
            <v>17</v>
          </cell>
          <cell r="H177">
            <v>1562.1990000000001</v>
          </cell>
          <cell r="M177">
            <v>2522.6010000000001</v>
          </cell>
          <cell r="R177">
            <v>8249.2469999999994</v>
          </cell>
        </row>
        <row r="178">
          <cell r="A178">
            <v>762</v>
          </cell>
          <cell r="B178" t="str">
            <v xml:space="preserve">Tajikistan                                      </v>
          </cell>
          <cell r="C178">
            <v>15</v>
          </cell>
          <cell r="H178">
            <v>1286.443</v>
          </cell>
          <cell r="M178">
            <v>6742.433</v>
          </cell>
          <cell r="R178">
            <v>25357.56</v>
          </cell>
        </row>
        <row r="179">
          <cell r="A179">
            <v>764</v>
          </cell>
          <cell r="B179" t="str">
            <v xml:space="preserve">Thailand                                         </v>
          </cell>
          <cell r="C179">
            <v>21</v>
          </cell>
          <cell r="H179">
            <v>8152.8779999999997</v>
          </cell>
          <cell r="M179">
            <v>25807.16</v>
          </cell>
          <cell r="R179">
            <v>57175.96</v>
          </cell>
        </row>
        <row r="180">
          <cell r="A180">
            <v>768</v>
          </cell>
          <cell r="B180" t="str">
            <v>Togo</v>
          </cell>
          <cell r="C180">
            <v>8</v>
          </cell>
          <cell r="H180">
            <v>630.56389999999999</v>
          </cell>
          <cell r="M180">
            <v>2056.9850000000001</v>
          </cell>
          <cell r="R180">
            <v>14456.6</v>
          </cell>
        </row>
        <row r="181">
          <cell r="A181">
            <v>776</v>
          </cell>
          <cell r="B181" t="str">
            <v xml:space="preserve">Tonga                                            </v>
          </cell>
          <cell r="C181">
            <v>24</v>
          </cell>
          <cell r="H181">
            <v>3898.2910000000002</v>
          </cell>
          <cell r="M181">
            <v>7369.89</v>
          </cell>
          <cell r="R181">
            <v>21266.720000000001</v>
          </cell>
        </row>
        <row r="182">
          <cell r="A182">
            <v>780</v>
          </cell>
          <cell r="B182" t="str">
            <v xml:space="preserve">Trinidad and Tobago                             </v>
          </cell>
          <cell r="C182">
            <v>4</v>
          </cell>
          <cell r="H182">
            <v>30832.31</v>
          </cell>
          <cell r="M182">
            <v>38309.050000000003</v>
          </cell>
          <cell r="R182">
            <v>50430.66</v>
          </cell>
        </row>
        <row r="183">
          <cell r="A183">
            <v>784</v>
          </cell>
          <cell r="B183" t="str">
            <v xml:space="preserve">United Arab Emirates                    </v>
          </cell>
          <cell r="C183">
            <v>17</v>
          </cell>
          <cell r="H183">
            <v>29666.5</v>
          </cell>
          <cell r="M183">
            <v>50048.79</v>
          </cell>
          <cell r="R183">
            <v>69702.13</v>
          </cell>
        </row>
        <row r="184">
          <cell r="A184">
            <v>788</v>
          </cell>
          <cell r="B184" t="str">
            <v xml:space="preserve">Tunisia                                         </v>
          </cell>
          <cell r="C184">
            <v>7</v>
          </cell>
          <cell r="H184">
            <v>5694.9279999999999</v>
          </cell>
          <cell r="M184">
            <v>15193.74</v>
          </cell>
          <cell r="R184">
            <v>28130.46</v>
          </cell>
        </row>
        <row r="185">
          <cell r="A185">
            <v>792</v>
          </cell>
          <cell r="B185" t="str">
            <v xml:space="preserve">Turkey                                          </v>
          </cell>
          <cell r="C185">
            <v>13</v>
          </cell>
          <cell r="H185">
            <v>11487.01</v>
          </cell>
          <cell r="M185">
            <v>30084.97</v>
          </cell>
          <cell r="R185">
            <v>67822.460000000006</v>
          </cell>
        </row>
        <row r="186">
          <cell r="A186">
            <v>795</v>
          </cell>
          <cell r="B186" t="str">
            <v xml:space="preserve">Turkmenistan                            </v>
          </cell>
          <cell r="C186">
            <v>15</v>
          </cell>
          <cell r="H186">
            <v>5981.58</v>
          </cell>
          <cell r="M186">
            <v>32807.300000000003</v>
          </cell>
          <cell r="R186">
            <v>47231.31</v>
          </cell>
        </row>
        <row r="187">
          <cell r="A187">
            <v>796</v>
          </cell>
          <cell r="B187" t="str">
            <v xml:space="preserve">Turks and Caicos Islands                                    </v>
          </cell>
          <cell r="C187">
            <v>4</v>
          </cell>
          <cell r="H187">
            <v>21364.32</v>
          </cell>
          <cell r="M187">
            <v>64961.02934617451</v>
          </cell>
          <cell r="R187">
            <v>231850.54240007236</v>
          </cell>
        </row>
        <row r="188">
          <cell r="A188">
            <v>800</v>
          </cell>
          <cell r="B188" t="str">
            <v xml:space="preserve">Uganda                                          </v>
          </cell>
          <cell r="C188">
            <v>9</v>
          </cell>
          <cell r="H188">
            <v>996.49869999999999</v>
          </cell>
          <cell r="M188">
            <v>5890.2269999999999</v>
          </cell>
          <cell r="R188">
            <v>78372.84</v>
          </cell>
        </row>
        <row r="189">
          <cell r="A189">
            <v>804</v>
          </cell>
          <cell r="B189" t="str">
            <v xml:space="preserve">Ukraine                                 </v>
          </cell>
          <cell r="C189">
            <v>14</v>
          </cell>
          <cell r="H189">
            <v>6066.402</v>
          </cell>
          <cell r="M189">
            <v>16063.91</v>
          </cell>
          <cell r="R189">
            <v>45693.38</v>
          </cell>
        </row>
        <row r="190">
          <cell r="A190">
            <v>807</v>
          </cell>
          <cell r="B190" t="str">
            <v>Macedonia. F. Yug. Rep. of</v>
          </cell>
          <cell r="C190">
            <v>12</v>
          </cell>
          <cell r="H190">
            <v>8762.6129999999994</v>
          </cell>
          <cell r="M190">
            <v>30044.31</v>
          </cell>
          <cell r="R190">
            <v>69935.47</v>
          </cell>
        </row>
        <row r="191">
          <cell r="A191">
            <v>818</v>
          </cell>
          <cell r="B191" t="str">
            <v xml:space="preserve">Egypt                                      </v>
          </cell>
          <cell r="C191">
            <v>7</v>
          </cell>
          <cell r="H191">
            <v>5464.94</v>
          </cell>
          <cell r="M191">
            <v>18657.71</v>
          </cell>
          <cell r="R191">
            <v>58842.3</v>
          </cell>
        </row>
        <row r="192">
          <cell r="A192">
            <v>826</v>
          </cell>
          <cell r="B192" t="str">
            <v>United Kingdom</v>
          </cell>
          <cell r="C192">
            <v>11</v>
          </cell>
          <cell r="H192">
            <v>28890.32</v>
          </cell>
          <cell r="M192">
            <v>49451.44</v>
          </cell>
          <cell r="R192">
            <v>102194.6</v>
          </cell>
        </row>
        <row r="193">
          <cell r="A193">
            <v>834</v>
          </cell>
          <cell r="B193" t="str">
            <v>Tanzania</v>
          </cell>
          <cell r="C193">
            <v>26</v>
          </cell>
          <cell r="H193">
            <v>1406.431</v>
          </cell>
          <cell r="M193">
            <v>6839.2250000000004</v>
          </cell>
          <cell r="R193">
            <v>40641.82</v>
          </cell>
        </row>
        <row r="194">
          <cell r="A194">
            <v>840</v>
          </cell>
          <cell r="B194" t="str">
            <v>United States</v>
          </cell>
          <cell r="C194">
            <v>2</v>
          </cell>
          <cell r="H194">
            <v>40307.370000000003</v>
          </cell>
          <cell r="M194">
            <v>58759.13</v>
          </cell>
          <cell r="R194">
            <v>78121.460000000006</v>
          </cell>
        </row>
        <row r="195">
          <cell r="A195">
            <v>850</v>
          </cell>
          <cell r="B195" t="str">
            <v>Virgin Islands. U.S.</v>
          </cell>
          <cell r="C195">
            <v>4</v>
          </cell>
          <cell r="H195">
            <v>6365.1169174139413</v>
          </cell>
          <cell r="M195">
            <v>19353.97565147854</v>
          </cell>
          <cell r="R195">
            <v>69075.718127569067</v>
          </cell>
        </row>
        <row r="196">
          <cell r="A196">
            <v>854</v>
          </cell>
          <cell r="B196" t="str">
            <v xml:space="preserve">Burkina Faso                            </v>
          </cell>
          <cell r="C196">
            <v>8</v>
          </cell>
          <cell r="H196">
            <v>722.69529999999997</v>
          </cell>
          <cell r="M196">
            <v>3018.4380000000001</v>
          </cell>
          <cell r="R196">
            <v>20992.02</v>
          </cell>
        </row>
        <row r="197">
          <cell r="A197">
            <v>858</v>
          </cell>
          <cell r="B197" t="str">
            <v xml:space="preserve">Uruguay                                 </v>
          </cell>
          <cell r="C197">
            <v>6</v>
          </cell>
          <cell r="H197">
            <v>12660.54</v>
          </cell>
          <cell r="M197">
            <v>21749.89</v>
          </cell>
          <cell r="R197">
            <v>41088.050000000003</v>
          </cell>
        </row>
        <row r="198">
          <cell r="A198">
            <v>860</v>
          </cell>
          <cell r="B198" t="str">
            <v xml:space="preserve">Uzbekistan                                      </v>
          </cell>
          <cell r="C198">
            <v>15</v>
          </cell>
          <cell r="H198">
            <v>2554.8560000000002</v>
          </cell>
          <cell r="M198">
            <v>12831.01</v>
          </cell>
          <cell r="R198">
            <v>35811.589999999997</v>
          </cell>
        </row>
        <row r="199">
          <cell r="A199">
            <v>862</v>
          </cell>
          <cell r="B199" t="str">
            <v xml:space="preserve">Venezuela                                       </v>
          </cell>
          <cell r="C199">
            <v>6</v>
          </cell>
          <cell r="H199">
            <v>12459.63</v>
          </cell>
          <cell r="M199">
            <v>27349.315580570183</v>
          </cell>
          <cell r="R199">
            <v>69787.128870657965</v>
          </cell>
        </row>
        <row r="200">
          <cell r="A200">
            <v>882</v>
          </cell>
          <cell r="B200" t="str">
            <v xml:space="preserve">Samoa                          </v>
          </cell>
          <cell r="C200">
            <v>24</v>
          </cell>
          <cell r="H200">
            <v>4223.0150000000003</v>
          </cell>
          <cell r="M200">
            <v>7227.8729999999996</v>
          </cell>
          <cell r="R200">
            <v>18864.23</v>
          </cell>
        </row>
        <row r="201">
          <cell r="A201">
            <v>887</v>
          </cell>
          <cell r="B201" t="str">
            <v xml:space="preserve">Yemen                                           </v>
          </cell>
          <cell r="C201">
            <v>17</v>
          </cell>
          <cell r="H201">
            <v>2446.7979999999998</v>
          </cell>
          <cell r="M201">
            <v>4404.0020000000004</v>
          </cell>
          <cell r="R201">
            <v>20651.009999999998</v>
          </cell>
        </row>
        <row r="202">
          <cell r="A202">
            <v>891</v>
          </cell>
          <cell r="B202" t="str">
            <v xml:space="preserve">Yugoslavia                              </v>
          </cell>
          <cell r="C202">
            <v>12</v>
          </cell>
          <cell r="H202">
            <v>7099.7792054602733</v>
          </cell>
          <cell r="M202">
            <v>18007.685464833325</v>
          </cell>
          <cell r="R202">
            <v>38164.142260065521</v>
          </cell>
        </row>
        <row r="203">
          <cell r="A203">
            <v>894</v>
          </cell>
          <cell r="B203" t="str">
            <v xml:space="preserve">Zambia                                          </v>
          </cell>
          <cell r="C203">
            <v>26</v>
          </cell>
          <cell r="H203">
            <v>2224.6570000000002</v>
          </cell>
          <cell r="M203">
            <v>9500.223</v>
          </cell>
          <cell r="R203">
            <v>62132.76</v>
          </cell>
        </row>
      </sheetData>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sp1_popnum"/>
      <sheetName val="ssp2_popnum"/>
      <sheetName val="ssp3_popnum"/>
      <sheetName val="ssp4_popnum"/>
      <sheetName val="ssp5_popnum"/>
      <sheetName val="ssp1_pop_ovz"/>
      <sheetName val="ssp2_pop_ovz"/>
      <sheetName val="ssp3_pop_ovz"/>
      <sheetName val="ssp4_pop_ovz"/>
      <sheetName val="ssp5_pop_ovz"/>
      <sheetName val="ssp1_fr_pop"/>
      <sheetName val="ssp2_fr_pop"/>
      <sheetName val="ssp3_fr_pop"/>
      <sheetName val="ssp4_fr_pop"/>
      <sheetName val="ssp5_fr_pop"/>
      <sheetName val="pop_overzicht"/>
    </sheetNames>
    <sheetDataSet>
      <sheetData sheetId="0"/>
      <sheetData sheetId="1">
        <row r="1">
          <cell r="A1" t="str">
            <v>#</v>
          </cell>
          <cell r="B1" t="str">
            <v>Population SSP2, unit: 1000</v>
          </cell>
        </row>
        <row r="2">
          <cell r="A2" t="str">
            <v>#</v>
          </cell>
          <cell r="B2" t="str">
            <v>SSP2</v>
          </cell>
          <cell r="O2" t="str">
            <v>pop2010</v>
          </cell>
          <cell r="T2" t="str">
            <v>pop2050</v>
          </cell>
          <cell r="Y2" t="str">
            <v>pop2100</v>
          </cell>
        </row>
        <row r="3">
          <cell r="A3" t="str">
            <v>ISO-CODE</v>
          </cell>
          <cell r="B3" t="str">
            <v>Country</v>
          </cell>
          <cell r="C3" t="str">
            <v>Image region</v>
          </cell>
          <cell r="O3">
            <v>2010</v>
          </cell>
          <cell r="T3">
            <v>2050</v>
          </cell>
          <cell r="Y3">
            <v>2100</v>
          </cell>
        </row>
        <row r="4">
          <cell r="A4">
            <v>4</v>
          </cell>
          <cell r="B4" t="str">
            <v xml:space="preserve">Afghanistan                                </v>
          </cell>
          <cell r="C4">
            <v>25</v>
          </cell>
          <cell r="O4">
            <v>28803.167000000001</v>
          </cell>
          <cell r="T4">
            <v>45662.535360136913</v>
          </cell>
          <cell r="Y4">
            <v>48702.476640425841</v>
          </cell>
        </row>
        <row r="5">
          <cell r="A5">
            <v>8</v>
          </cell>
          <cell r="B5" t="str">
            <v xml:space="preserve">Albania                                         </v>
          </cell>
          <cell r="C5">
            <v>12</v>
          </cell>
          <cell r="O5">
            <v>2940.5250000000001</v>
          </cell>
          <cell r="T5">
            <v>2704.3239662609953</v>
          </cell>
          <cell r="Y5">
            <v>2082.1968900469938</v>
          </cell>
        </row>
        <row r="6">
          <cell r="A6">
            <v>12</v>
          </cell>
          <cell r="B6" t="str">
            <v xml:space="preserve">Algeria                      </v>
          </cell>
          <cell r="C6">
            <v>7</v>
          </cell>
          <cell r="O6">
            <v>36117.637000000002</v>
          </cell>
          <cell r="T6">
            <v>52256.253384821532</v>
          </cell>
          <cell r="Y6">
            <v>50969.217836418422</v>
          </cell>
        </row>
        <row r="7">
          <cell r="A7">
            <v>16</v>
          </cell>
          <cell r="B7" t="str">
            <v xml:space="preserve">American Samoa                          </v>
          </cell>
          <cell r="C7">
            <v>24</v>
          </cell>
          <cell r="O7">
            <v>55.637</v>
          </cell>
          <cell r="T7">
            <v>86.184345332746304</v>
          </cell>
          <cell r="Y7">
            <v>99.71031487181223</v>
          </cell>
        </row>
        <row r="8">
          <cell r="A8">
            <v>20</v>
          </cell>
          <cell r="B8" t="str">
            <v xml:space="preserve">Andorra                                     </v>
          </cell>
          <cell r="C8">
            <v>11</v>
          </cell>
          <cell r="O8">
            <v>84.448999999999998</v>
          </cell>
          <cell r="T8">
            <v>93.825275813102579</v>
          </cell>
          <cell r="Y8">
            <v>92.034451365652259</v>
          </cell>
        </row>
        <row r="9">
          <cell r="A9">
            <v>24</v>
          </cell>
          <cell r="B9" t="str">
            <v xml:space="preserve">Angola                                          </v>
          </cell>
          <cell r="C9">
            <v>26</v>
          </cell>
          <cell r="O9">
            <v>23369.131000000001</v>
          </cell>
          <cell r="T9">
            <v>50226.681534883312</v>
          </cell>
          <cell r="Y9">
            <v>67994.953521980016</v>
          </cell>
        </row>
        <row r="10">
          <cell r="A10">
            <v>31</v>
          </cell>
          <cell r="B10" t="str">
            <v>Azerbaijan</v>
          </cell>
          <cell r="C10">
            <v>16</v>
          </cell>
          <cell r="O10">
            <v>9032.4570000000003</v>
          </cell>
          <cell r="T10">
            <v>8741.5381143840059</v>
          </cell>
          <cell r="Y10">
            <v>7731.6913336218968</v>
          </cell>
        </row>
        <row r="11">
          <cell r="A11">
            <v>32</v>
          </cell>
          <cell r="B11" t="str">
            <v>Argentina</v>
          </cell>
          <cell r="C11">
            <v>6</v>
          </cell>
          <cell r="O11">
            <v>41223.889000000003</v>
          </cell>
          <cell r="T11">
            <v>54125.368676569407</v>
          </cell>
          <cell r="Y11">
            <v>50637.774996030908</v>
          </cell>
        </row>
        <row r="12">
          <cell r="A12">
            <v>36</v>
          </cell>
          <cell r="B12" t="str">
            <v xml:space="preserve">Australia                               </v>
          </cell>
          <cell r="C12">
            <v>24</v>
          </cell>
          <cell r="O12">
            <v>22120.063999999998</v>
          </cell>
          <cell r="T12">
            <v>34265.025694384123</v>
          </cell>
          <cell r="Y12">
            <v>39642.657699456082</v>
          </cell>
        </row>
        <row r="13">
          <cell r="A13">
            <v>40</v>
          </cell>
          <cell r="B13" t="str">
            <v xml:space="preserve">Austria                                         </v>
          </cell>
          <cell r="C13">
            <v>11</v>
          </cell>
          <cell r="O13">
            <v>8409.9490000000005</v>
          </cell>
          <cell r="T13">
            <v>9343.6960117837534</v>
          </cell>
          <cell r="Y13">
            <v>9165.3547375115868</v>
          </cell>
        </row>
        <row r="14">
          <cell r="A14">
            <v>44</v>
          </cell>
          <cell r="B14" t="str">
            <v xml:space="preserve">Bahamas                                 </v>
          </cell>
          <cell r="C14">
            <v>4</v>
          </cell>
          <cell r="O14">
            <v>360.83199999999999</v>
          </cell>
          <cell r="T14">
            <v>462.95567370600418</v>
          </cell>
          <cell r="Y14">
            <v>432.57944980237158</v>
          </cell>
        </row>
        <row r="15">
          <cell r="A15">
            <v>48</v>
          </cell>
          <cell r="B15" t="str">
            <v xml:space="preserve">Bahrain                                            </v>
          </cell>
          <cell r="C15">
            <v>17</v>
          </cell>
          <cell r="O15">
            <v>1240.8620000000001</v>
          </cell>
          <cell r="T15">
            <v>2175.697975102652</v>
          </cell>
          <cell r="Y15">
            <v>2433.0255550848315</v>
          </cell>
        </row>
        <row r="16">
          <cell r="A16">
            <v>50</v>
          </cell>
          <cell r="B16" t="str">
            <v>Bangladesh</v>
          </cell>
          <cell r="C16">
            <v>25</v>
          </cell>
          <cell r="O16">
            <v>152149.10200000001</v>
          </cell>
          <cell r="T16">
            <v>241206.59197261461</v>
          </cell>
          <cell r="Y16">
            <v>257264.698913726</v>
          </cell>
        </row>
        <row r="17">
          <cell r="A17">
            <v>51</v>
          </cell>
          <cell r="B17" t="str">
            <v xml:space="preserve">Armenia                                         </v>
          </cell>
          <cell r="C17">
            <v>16</v>
          </cell>
          <cell r="O17">
            <v>2877.3110000000001</v>
          </cell>
          <cell r="T17">
            <v>2784.6380861194643</v>
          </cell>
          <cell r="Y17">
            <v>2462.9489542917231</v>
          </cell>
        </row>
        <row r="18">
          <cell r="A18">
            <v>52</v>
          </cell>
          <cell r="B18" t="str">
            <v xml:space="preserve">Barbados                                </v>
          </cell>
          <cell r="C18">
            <v>4</v>
          </cell>
          <cell r="O18">
            <v>279.56900000000002</v>
          </cell>
          <cell r="T18">
            <v>358.69339399585925</v>
          </cell>
          <cell r="Y18">
            <v>335.15820160573128</v>
          </cell>
        </row>
        <row r="19">
          <cell r="A19">
            <v>56</v>
          </cell>
          <cell r="B19" t="str">
            <v xml:space="preserve">Belgium                                          </v>
          </cell>
          <cell r="C19">
            <v>11</v>
          </cell>
          <cell r="O19">
            <v>10938.739</v>
          </cell>
          <cell r="T19">
            <v>12153.254671133369</v>
          </cell>
          <cell r="Y19">
            <v>11921.287907459693</v>
          </cell>
        </row>
        <row r="20">
          <cell r="A20">
            <v>64</v>
          </cell>
          <cell r="B20" t="str">
            <v xml:space="preserve">Bhutan                                           </v>
          </cell>
          <cell r="C20">
            <v>25</v>
          </cell>
          <cell r="O20">
            <v>727.64099999999996</v>
          </cell>
          <cell r="T20">
            <v>1153.5513748187961</v>
          </cell>
          <cell r="Y20">
            <v>1230.3479962851341</v>
          </cell>
        </row>
        <row r="21">
          <cell r="A21">
            <v>68</v>
          </cell>
          <cell r="B21" t="str">
            <v>Bolivia</v>
          </cell>
          <cell r="C21">
            <v>6</v>
          </cell>
          <cell r="O21">
            <v>9918.2420000000002</v>
          </cell>
          <cell r="T21">
            <v>13022.267376894864</v>
          </cell>
          <cell r="Y21">
            <v>12183.171431307308</v>
          </cell>
        </row>
        <row r="22">
          <cell r="A22">
            <v>70</v>
          </cell>
          <cell r="B22" t="str">
            <v xml:space="preserve">Bosnia and Herzegovina                          </v>
          </cell>
          <cell r="C22">
            <v>12</v>
          </cell>
          <cell r="O22">
            <v>3722.0839999999998</v>
          </cell>
          <cell r="T22">
            <v>3423.103345707515</v>
          </cell>
          <cell r="Y22">
            <v>2635.6217781837172</v>
          </cell>
        </row>
        <row r="23">
          <cell r="A23">
            <v>72</v>
          </cell>
          <cell r="B23" t="str">
            <v xml:space="preserve">Botswana                                        </v>
          </cell>
          <cell r="C23">
            <v>26</v>
          </cell>
          <cell r="O23">
            <v>2014.866</v>
          </cell>
          <cell r="T23">
            <v>4330.5004759254498</v>
          </cell>
          <cell r="Y23">
            <v>5862.4653190149775</v>
          </cell>
        </row>
        <row r="24">
          <cell r="A24">
            <v>76</v>
          </cell>
          <cell r="B24" t="str">
            <v xml:space="preserve">Brazil                               </v>
          </cell>
          <cell r="C24">
            <v>5</v>
          </cell>
          <cell r="O24">
            <v>196796.269</v>
          </cell>
          <cell r="T24">
            <v>235077.82132689437</v>
          </cell>
          <cell r="Y24">
            <v>191023.26110889958</v>
          </cell>
        </row>
        <row r="25">
          <cell r="A25">
            <v>84</v>
          </cell>
          <cell r="B25" t="str">
            <v xml:space="preserve">Belize                                  </v>
          </cell>
          <cell r="C25">
            <v>4</v>
          </cell>
          <cell r="O25">
            <v>321.608</v>
          </cell>
          <cell r="T25">
            <v>412.63038840579713</v>
          </cell>
          <cell r="Y25">
            <v>385.55619150197634</v>
          </cell>
        </row>
        <row r="26">
          <cell r="A26">
            <v>90</v>
          </cell>
          <cell r="B26" t="str">
            <v xml:space="preserve">Solomon Islands                         </v>
          </cell>
          <cell r="C26">
            <v>24</v>
          </cell>
          <cell r="O26">
            <v>527.79</v>
          </cell>
          <cell r="T26">
            <v>817.57168113252271</v>
          </cell>
          <cell r="Y26">
            <v>945.88326268838671</v>
          </cell>
        </row>
        <row r="27">
          <cell r="A27">
            <v>96</v>
          </cell>
          <cell r="B27" t="str">
            <v xml:space="preserve">Brunei Darussalam                       </v>
          </cell>
          <cell r="C27">
            <v>21</v>
          </cell>
          <cell r="O27">
            <v>388.66199999999998</v>
          </cell>
          <cell r="T27">
            <v>501.0927298245515</v>
          </cell>
          <cell r="Y27">
            <v>448.22843199785791</v>
          </cell>
        </row>
        <row r="28">
          <cell r="A28">
            <v>100</v>
          </cell>
          <cell r="B28" t="str">
            <v xml:space="preserve">Bulgaria                                        </v>
          </cell>
          <cell r="C28">
            <v>12</v>
          </cell>
          <cell r="O28">
            <v>7404.59</v>
          </cell>
          <cell r="T28">
            <v>6809.8078395308676</v>
          </cell>
          <cell r="Y28">
            <v>5243.2182246616067</v>
          </cell>
        </row>
        <row r="29">
          <cell r="A29">
            <v>104</v>
          </cell>
          <cell r="B29" t="str">
            <v xml:space="preserve">Myanmar                                            </v>
          </cell>
          <cell r="C29">
            <v>21</v>
          </cell>
          <cell r="O29">
            <v>50155.896000000001</v>
          </cell>
          <cell r="T29">
            <v>64664.811181531266</v>
          </cell>
          <cell r="Y29">
            <v>57842.800735671706</v>
          </cell>
        </row>
        <row r="30">
          <cell r="A30">
            <v>108</v>
          </cell>
          <cell r="B30" t="str">
            <v xml:space="preserve">Burundi                                         </v>
          </cell>
          <cell r="C30">
            <v>9</v>
          </cell>
          <cell r="O30">
            <v>8766.93</v>
          </cell>
          <cell r="T30">
            <v>18527.933503111202</v>
          </cell>
          <cell r="Y30">
            <v>24656.179393699902</v>
          </cell>
        </row>
        <row r="31">
          <cell r="A31">
            <v>112</v>
          </cell>
          <cell r="B31" t="str">
            <v xml:space="preserve">Belarus                                         </v>
          </cell>
          <cell r="C31">
            <v>14</v>
          </cell>
          <cell r="O31">
            <v>9473.0709999999999</v>
          </cell>
          <cell r="T31">
            <v>8040.9597393839931</v>
          </cell>
          <cell r="Y31">
            <v>6556.6069263113723</v>
          </cell>
        </row>
        <row r="32">
          <cell r="A32">
            <v>116</v>
          </cell>
          <cell r="B32" t="str">
            <v xml:space="preserve">Cambodia                                         </v>
          </cell>
          <cell r="C32">
            <v>21</v>
          </cell>
          <cell r="O32">
            <v>14308.74</v>
          </cell>
          <cell r="T32">
            <v>18447.920267352489</v>
          </cell>
          <cell r="Y32">
            <v>16501.700948549202</v>
          </cell>
        </row>
        <row r="33">
          <cell r="A33">
            <v>120</v>
          </cell>
          <cell r="B33" t="str">
            <v xml:space="preserve">Cameroon                                        </v>
          </cell>
          <cell r="C33">
            <v>8</v>
          </cell>
          <cell r="O33">
            <v>19970.494999999999</v>
          </cell>
          <cell r="T33">
            <v>44496.994235709375</v>
          </cell>
          <cell r="Y33">
            <v>63080.829964402707</v>
          </cell>
        </row>
        <row r="34">
          <cell r="A34">
            <v>124</v>
          </cell>
          <cell r="B34" t="str">
            <v xml:space="preserve">Canada                                  </v>
          </cell>
          <cell r="C34">
            <v>1</v>
          </cell>
          <cell r="O34">
            <v>34168.667999999998</v>
          </cell>
          <cell r="T34">
            <v>47706.626458372208</v>
          </cell>
          <cell r="Y34">
            <v>54563.099837421061</v>
          </cell>
        </row>
        <row r="35">
          <cell r="A35">
            <v>132</v>
          </cell>
          <cell r="B35" t="str">
            <v xml:space="preserve">Cape Verde                                      </v>
          </cell>
          <cell r="C35">
            <v>8</v>
          </cell>
          <cell r="O35">
            <v>502.38400000000001</v>
          </cell>
          <cell r="T35">
            <v>1119.3802633391219</v>
          </cell>
          <cell r="Y35">
            <v>1586.8810302817478</v>
          </cell>
        </row>
        <row r="36">
          <cell r="A36">
            <v>140</v>
          </cell>
          <cell r="B36" t="str">
            <v xml:space="preserve">Central African Republic                </v>
          </cell>
          <cell r="C36">
            <v>8</v>
          </cell>
          <cell r="O36">
            <v>4448.5249999999996</v>
          </cell>
          <cell r="T36">
            <v>9911.9221272386603</v>
          </cell>
          <cell r="Y36">
            <v>14051.562022743779</v>
          </cell>
        </row>
        <row r="37">
          <cell r="A37">
            <v>144</v>
          </cell>
          <cell r="B37" t="str">
            <v xml:space="preserve">Sri Lanka                  </v>
          </cell>
          <cell r="C37">
            <v>25</v>
          </cell>
          <cell r="O37">
            <v>20198.352999999999</v>
          </cell>
          <cell r="T37">
            <v>32021.062408832589</v>
          </cell>
          <cell r="Y37">
            <v>34152.835178075213</v>
          </cell>
        </row>
        <row r="38">
          <cell r="A38">
            <v>148</v>
          </cell>
          <cell r="B38" t="str">
            <v xml:space="preserve">Chad                                            </v>
          </cell>
          <cell r="C38">
            <v>8</v>
          </cell>
          <cell r="O38">
            <v>11887.201999999999</v>
          </cell>
          <cell r="T38">
            <v>26486.311875229578</v>
          </cell>
          <cell r="Y38">
            <v>37548.12127163136</v>
          </cell>
        </row>
        <row r="39">
          <cell r="A39">
            <v>152</v>
          </cell>
          <cell r="B39" t="str">
            <v xml:space="preserve">Chile                                           </v>
          </cell>
          <cell r="C39">
            <v>6</v>
          </cell>
          <cell r="O39">
            <v>16993.353999999999</v>
          </cell>
          <cell r="T39">
            <v>22311.615245748777</v>
          </cell>
          <cell r="Y39">
            <v>20873.955785197795</v>
          </cell>
        </row>
        <row r="40">
          <cell r="A40">
            <v>156</v>
          </cell>
          <cell r="B40" t="str">
            <v>China</v>
          </cell>
          <cell r="C40">
            <v>20</v>
          </cell>
          <cell r="O40">
            <v>1359755.102</v>
          </cell>
          <cell r="T40">
            <v>1298057.5460558224</v>
          </cell>
          <cell r="Y40">
            <v>793011.92558185058</v>
          </cell>
        </row>
        <row r="41">
          <cell r="A41">
            <v>158</v>
          </cell>
          <cell r="B41" t="str">
            <v xml:space="preserve">Taiwan. Province of China                                   </v>
          </cell>
          <cell r="C41">
            <v>20</v>
          </cell>
          <cell r="O41">
            <v>23102.405999999999</v>
          </cell>
          <cell r="T41">
            <v>22054.156955349528</v>
          </cell>
          <cell r="Y41">
            <v>13473.369903659092</v>
          </cell>
        </row>
        <row r="42">
          <cell r="A42">
            <v>170</v>
          </cell>
          <cell r="B42" t="str">
            <v xml:space="preserve">Colombia                                        </v>
          </cell>
          <cell r="C42">
            <v>6</v>
          </cell>
          <cell r="O42">
            <v>45918.097000000002</v>
          </cell>
          <cell r="T42">
            <v>60288.681862389923</v>
          </cell>
          <cell r="Y42">
            <v>56403.95218733298</v>
          </cell>
        </row>
        <row r="43">
          <cell r="A43">
            <v>174</v>
          </cell>
          <cell r="B43" t="str">
            <v xml:space="preserve">Comoros                     </v>
          </cell>
          <cell r="C43">
            <v>9</v>
          </cell>
          <cell r="O43">
            <v>689.69200000000001</v>
          </cell>
          <cell r="T43">
            <v>1457.5874922724113</v>
          </cell>
          <cell r="Y43">
            <v>1939.6949306541371</v>
          </cell>
        </row>
        <row r="44">
          <cell r="A44">
            <v>178</v>
          </cell>
          <cell r="B44" t="str">
            <v xml:space="preserve">Congo                                       </v>
          </cell>
          <cell r="C44">
            <v>8</v>
          </cell>
          <cell r="O44">
            <v>4386.6930000000002</v>
          </cell>
          <cell r="T44">
            <v>9774.1519744416291</v>
          </cell>
          <cell r="Y44">
            <v>13856.253199484321</v>
          </cell>
        </row>
        <row r="45">
          <cell r="A45">
            <v>180</v>
          </cell>
          <cell r="B45" t="str">
            <v>Congo. The Dem. Rep. of the</v>
          </cell>
          <cell r="C45">
            <v>8</v>
          </cell>
          <cell r="O45">
            <v>64523.262999999999</v>
          </cell>
          <cell r="T45">
            <v>143766.6548465704</v>
          </cell>
          <cell r="Y45">
            <v>203809.71939110357</v>
          </cell>
        </row>
        <row r="46">
          <cell r="A46">
            <v>188</v>
          </cell>
          <cell r="B46" t="str">
            <v xml:space="preserve">Costa Rica                                      </v>
          </cell>
          <cell r="C46">
            <v>4</v>
          </cell>
          <cell r="O46">
            <v>4545.28</v>
          </cell>
          <cell r="T46">
            <v>5831.6977556935817</v>
          </cell>
          <cell r="Y46">
            <v>5449.0586245059294</v>
          </cell>
        </row>
        <row r="47">
          <cell r="A47">
            <v>191</v>
          </cell>
          <cell r="B47" t="str">
            <v xml:space="preserve">Croatia                                         </v>
          </cell>
          <cell r="C47">
            <v>12</v>
          </cell>
          <cell r="O47">
            <v>4328.1530000000002</v>
          </cell>
          <cell r="T47">
            <v>3980.4891601140703</v>
          </cell>
          <cell r="Y47">
            <v>3064.7815326336513</v>
          </cell>
        </row>
        <row r="48">
          <cell r="A48">
            <v>192</v>
          </cell>
          <cell r="B48" t="str">
            <v xml:space="preserve">Cuba                                            </v>
          </cell>
          <cell r="C48">
            <v>4</v>
          </cell>
          <cell r="O48">
            <v>11333.050999999999</v>
          </cell>
          <cell r="T48">
            <v>14540.562535610767</v>
          </cell>
          <cell r="Y48">
            <v>13586.502766279646</v>
          </cell>
        </row>
        <row r="49">
          <cell r="A49">
            <v>196</v>
          </cell>
          <cell r="B49" t="str">
            <v xml:space="preserve">Cyprus                                          </v>
          </cell>
          <cell r="C49">
            <v>12</v>
          </cell>
          <cell r="O49">
            <v>1112.607</v>
          </cell>
          <cell r="T49">
            <v>1023.2355702229185</v>
          </cell>
          <cell r="Y49">
            <v>787.84123081576104</v>
          </cell>
        </row>
        <row r="50">
          <cell r="A50">
            <v>203</v>
          </cell>
          <cell r="B50" t="str">
            <v xml:space="preserve">Czech Republic                          </v>
          </cell>
          <cell r="C50">
            <v>12</v>
          </cell>
          <cell r="O50">
            <v>10536.286</v>
          </cell>
          <cell r="T50">
            <v>9689.9467765722784</v>
          </cell>
          <cell r="Y50">
            <v>7460.784023888823</v>
          </cell>
        </row>
        <row r="51">
          <cell r="A51">
            <v>204</v>
          </cell>
          <cell r="B51" t="str">
            <v xml:space="preserve">Benin                                           </v>
          </cell>
          <cell r="C51">
            <v>8</v>
          </cell>
          <cell r="O51">
            <v>9199.259</v>
          </cell>
          <cell r="T51">
            <v>20497.207239770352</v>
          </cell>
          <cell r="Y51">
            <v>29057.712028545178</v>
          </cell>
        </row>
        <row r="52">
          <cell r="A52">
            <v>208</v>
          </cell>
          <cell r="B52" t="str">
            <v xml:space="preserve">Denmark                                          </v>
          </cell>
          <cell r="C52">
            <v>11</v>
          </cell>
          <cell r="O52">
            <v>5554.8440000000001</v>
          </cell>
          <cell r="T52">
            <v>6171.5919714710417</v>
          </cell>
          <cell r="Y52">
            <v>6053.7960184464628</v>
          </cell>
        </row>
        <row r="53">
          <cell r="A53">
            <v>212</v>
          </cell>
          <cell r="B53" t="str">
            <v xml:space="preserve">Dominica                                    </v>
          </cell>
          <cell r="C53">
            <v>4</v>
          </cell>
          <cell r="O53">
            <v>71.44</v>
          </cell>
          <cell r="T53">
            <v>91.659146997929611</v>
          </cell>
          <cell r="Y53">
            <v>85.6450533596838</v>
          </cell>
        </row>
        <row r="54">
          <cell r="A54">
            <v>214</v>
          </cell>
          <cell r="B54" t="str">
            <v xml:space="preserve">Dominican Republic                      </v>
          </cell>
          <cell r="C54">
            <v>4</v>
          </cell>
          <cell r="O54">
            <v>9897.9850000000006</v>
          </cell>
          <cell r="T54">
            <v>12699.340174948242</v>
          </cell>
          <cell r="Y54">
            <v>11866.089774333006</v>
          </cell>
        </row>
        <row r="55">
          <cell r="A55">
            <v>218</v>
          </cell>
          <cell r="B55" t="str">
            <v xml:space="preserve">Ecuador                                         </v>
          </cell>
          <cell r="C55">
            <v>6</v>
          </cell>
          <cell r="O55">
            <v>14934.69</v>
          </cell>
          <cell r="T55">
            <v>19608.669194705872</v>
          </cell>
          <cell r="Y55">
            <v>18345.1753388787</v>
          </cell>
        </row>
        <row r="56">
          <cell r="A56">
            <v>222</v>
          </cell>
          <cell r="B56" t="str">
            <v xml:space="preserve">El Salvador                                     </v>
          </cell>
          <cell r="C56">
            <v>4</v>
          </cell>
          <cell r="O56">
            <v>6164.6260000000002</v>
          </cell>
          <cell r="T56">
            <v>7909.3555532091113</v>
          </cell>
          <cell r="Y56">
            <v>7390.39365499012</v>
          </cell>
        </row>
        <row r="57">
          <cell r="A57">
            <v>226</v>
          </cell>
          <cell r="B57" t="str">
            <v xml:space="preserve">Equatorial Guinea                               </v>
          </cell>
          <cell r="C57">
            <v>8</v>
          </cell>
          <cell r="O57">
            <v>951.10400000000004</v>
          </cell>
          <cell r="T57">
            <v>2119.1897950231146</v>
          </cell>
          <cell r="Y57">
            <v>3004.2535101139597</v>
          </cell>
        </row>
        <row r="58">
          <cell r="A58">
            <v>231</v>
          </cell>
          <cell r="B58" t="str">
            <v>Ethiopia</v>
          </cell>
          <cell r="C58">
            <v>9</v>
          </cell>
          <cell r="O58">
            <v>87702.67</v>
          </cell>
          <cell r="T58">
            <v>185349.85882233639</v>
          </cell>
          <cell r="Y58">
            <v>246655.64397416913</v>
          </cell>
        </row>
        <row r="59">
          <cell r="A59">
            <v>232</v>
          </cell>
          <cell r="B59" t="str">
            <v xml:space="preserve">Eritrea                                 </v>
          </cell>
          <cell r="C59">
            <v>9</v>
          </cell>
          <cell r="O59">
            <v>4390.84</v>
          </cell>
          <cell r="T59">
            <v>9279.5529954956619</v>
          </cell>
          <cell r="Y59">
            <v>12348.831201918263</v>
          </cell>
        </row>
        <row r="60">
          <cell r="A60">
            <v>233</v>
          </cell>
          <cell r="B60" t="str">
            <v xml:space="preserve">Estonia                                         </v>
          </cell>
          <cell r="C60">
            <v>12</v>
          </cell>
          <cell r="O60">
            <v>1332.1020000000001</v>
          </cell>
          <cell r="T60">
            <v>1225.0993833088326</v>
          </cell>
          <cell r="Y60">
            <v>943.26647167610577</v>
          </cell>
        </row>
        <row r="61">
          <cell r="A61">
            <v>234</v>
          </cell>
          <cell r="B61" t="str">
            <v>Faroe Islands</v>
          </cell>
          <cell r="C61">
            <v>11</v>
          </cell>
          <cell r="O61">
            <v>48.55</v>
          </cell>
          <cell r="T61">
            <v>53.940450931640754</v>
          </cell>
          <cell r="Y61">
            <v>52.910900233305512</v>
          </cell>
        </row>
        <row r="62">
          <cell r="A62">
            <v>238</v>
          </cell>
          <cell r="B62" t="str">
            <v>Falklands Islands (Malvinas)</v>
          </cell>
          <cell r="C62">
            <v>6</v>
          </cell>
          <cell r="O62">
            <v>2.8519999999999999</v>
          </cell>
          <cell r="T62">
            <v>3.7445654742951575</v>
          </cell>
          <cell r="Y62">
            <v>3.5032826303379609</v>
          </cell>
        </row>
        <row r="63">
          <cell r="A63">
            <v>242</v>
          </cell>
          <cell r="B63" t="str">
            <v xml:space="preserve">Fiji                                            </v>
          </cell>
          <cell r="C63">
            <v>24</v>
          </cell>
          <cell r="O63">
            <v>859.95</v>
          </cell>
          <cell r="T63">
            <v>1332.103236495411</v>
          </cell>
          <cell r="Y63">
            <v>1541.1665847190707</v>
          </cell>
        </row>
        <row r="64">
          <cell r="A64">
            <v>246</v>
          </cell>
          <cell r="B64" t="str">
            <v xml:space="preserve">Finland                                         </v>
          </cell>
          <cell r="C64">
            <v>11</v>
          </cell>
          <cell r="O64">
            <v>5365.7820000000002</v>
          </cell>
          <cell r="T64">
            <v>5961.5386340037321</v>
          </cell>
          <cell r="Y64">
            <v>5847.7519274081678</v>
          </cell>
        </row>
        <row r="65">
          <cell r="A65">
            <v>250</v>
          </cell>
          <cell r="B65" t="str">
            <v>France</v>
          </cell>
          <cell r="C65">
            <v>11</v>
          </cell>
          <cell r="O65">
            <v>63026.74</v>
          </cell>
          <cell r="T65">
            <v>70024.526804351786</v>
          </cell>
          <cell r="Y65">
            <v>68687.982536982207</v>
          </cell>
        </row>
        <row r="66">
          <cell r="A66">
            <v>254</v>
          </cell>
          <cell r="B66" t="str">
            <v xml:space="preserve">French Guiana                           </v>
          </cell>
          <cell r="C66">
            <v>6</v>
          </cell>
          <cell r="O66">
            <v>234.18100000000001</v>
          </cell>
          <cell r="T66">
            <v>307.47057760726312</v>
          </cell>
          <cell r="Y66">
            <v>287.65856579774692</v>
          </cell>
        </row>
        <row r="67">
          <cell r="A67">
            <v>262</v>
          </cell>
          <cell r="B67" t="str">
            <v xml:space="preserve">Djibouti                                        </v>
          </cell>
          <cell r="C67">
            <v>9</v>
          </cell>
          <cell r="O67">
            <v>851.14599999999996</v>
          </cell>
          <cell r="T67">
            <v>1798.8026013027463</v>
          </cell>
          <cell r="Y67">
            <v>2393.7693658133571</v>
          </cell>
        </row>
        <row r="68">
          <cell r="A68">
            <v>266</v>
          </cell>
          <cell r="B68" t="str">
            <v>Gabon</v>
          </cell>
          <cell r="C68">
            <v>8</v>
          </cell>
          <cell r="O68">
            <v>1640.21</v>
          </cell>
          <cell r="T68">
            <v>3654.6122124340372</v>
          </cell>
          <cell r="Y68">
            <v>5180.9335780566771</v>
          </cell>
        </row>
        <row r="69">
          <cell r="A69">
            <v>268</v>
          </cell>
          <cell r="B69" t="str">
            <v xml:space="preserve">Georgia                                 </v>
          </cell>
          <cell r="C69">
            <v>16</v>
          </cell>
          <cell r="O69">
            <v>4231.6610000000001</v>
          </cell>
          <cell r="T69">
            <v>4095.3669548221856</v>
          </cell>
          <cell r="Y69">
            <v>3622.2587808085627</v>
          </cell>
        </row>
        <row r="70">
          <cell r="A70">
            <v>270</v>
          </cell>
          <cell r="B70" t="str">
            <v xml:space="preserve">Gambia                                      </v>
          </cell>
          <cell r="C70">
            <v>8</v>
          </cell>
          <cell r="O70">
            <v>1692.1489999999999</v>
          </cell>
          <cell r="T70">
            <v>3770.3394081599567</v>
          </cell>
          <cell r="Y70">
            <v>5344.9933686387885</v>
          </cell>
        </row>
        <row r="71">
          <cell r="A71">
            <v>276</v>
          </cell>
          <cell r="B71" t="str">
            <v xml:space="preserve">Germany                                 </v>
          </cell>
          <cell r="C71">
            <v>11</v>
          </cell>
          <cell r="O71">
            <v>80894.785000000003</v>
          </cell>
          <cell r="T71">
            <v>89876.440389662792</v>
          </cell>
          <cell r="Y71">
            <v>88160.986581456222</v>
          </cell>
        </row>
        <row r="72">
          <cell r="A72">
            <v>288</v>
          </cell>
          <cell r="B72" t="str">
            <v xml:space="preserve">Ghana                                           </v>
          </cell>
          <cell r="C72">
            <v>8</v>
          </cell>
          <cell r="O72">
            <v>24512.103999999999</v>
          </cell>
          <cell r="T72">
            <v>54616.32024609849</v>
          </cell>
          <cell r="Y72">
            <v>77426.416545696819</v>
          </cell>
        </row>
        <row r="73">
          <cell r="A73">
            <v>300</v>
          </cell>
          <cell r="B73" t="str">
            <v>Greece</v>
          </cell>
          <cell r="C73">
            <v>11</v>
          </cell>
          <cell r="O73">
            <v>11446.004999999999</v>
          </cell>
          <cell r="T73">
            <v>12716.841834517296</v>
          </cell>
          <cell r="Y73">
            <v>12474.117994334007</v>
          </cell>
        </row>
        <row r="74">
          <cell r="A74">
            <v>304</v>
          </cell>
          <cell r="B74" t="str">
            <v xml:space="preserve">Greenland                               </v>
          </cell>
          <cell r="C74">
            <v>27</v>
          </cell>
          <cell r="O74">
            <v>56.637999999999998</v>
          </cell>
          <cell r="T74">
            <v>56.637999999999998</v>
          </cell>
          <cell r="Y74">
            <v>56.637999999999998</v>
          </cell>
        </row>
        <row r="75">
          <cell r="A75">
            <v>308</v>
          </cell>
          <cell r="B75" t="str">
            <v xml:space="preserve">Grenada                                 </v>
          </cell>
          <cell r="C75">
            <v>4</v>
          </cell>
          <cell r="O75">
            <v>104.67700000000001</v>
          </cell>
          <cell r="T75">
            <v>134.30297494824018</v>
          </cell>
          <cell r="Y75">
            <v>125.49086296936761</v>
          </cell>
        </row>
        <row r="76">
          <cell r="A76">
            <v>312</v>
          </cell>
          <cell r="B76" t="str">
            <v xml:space="preserve">Guadeloupe                              </v>
          </cell>
          <cell r="C76">
            <v>4</v>
          </cell>
          <cell r="O76">
            <v>450.71800000000002</v>
          </cell>
          <cell r="T76">
            <v>578.2814587991719</v>
          </cell>
          <cell r="Y76">
            <v>540.3382861166009</v>
          </cell>
        </row>
        <row r="77">
          <cell r="A77">
            <v>320</v>
          </cell>
          <cell r="B77" t="str">
            <v xml:space="preserve">Guatemala                                       </v>
          </cell>
          <cell r="C77">
            <v>4</v>
          </cell>
          <cell r="O77">
            <v>14630.416999999999</v>
          </cell>
          <cell r="T77">
            <v>18771.158208902692</v>
          </cell>
          <cell r="Y77">
            <v>17539.513502791502</v>
          </cell>
        </row>
        <row r="78">
          <cell r="A78">
            <v>324</v>
          </cell>
          <cell r="B78" t="str">
            <v xml:space="preserve">Guinea                                          </v>
          </cell>
          <cell r="C78">
            <v>8</v>
          </cell>
          <cell r="O78">
            <v>10794.17</v>
          </cell>
          <cell r="T78">
            <v>24050.88708463496</v>
          </cell>
          <cell r="Y78">
            <v>34095.55959313261</v>
          </cell>
        </row>
        <row r="79">
          <cell r="A79">
            <v>328</v>
          </cell>
          <cell r="B79" t="str">
            <v xml:space="preserve">Guyana                                          </v>
          </cell>
          <cell r="C79">
            <v>6</v>
          </cell>
          <cell r="O79">
            <v>746.55600000000004</v>
          </cell>
          <cell r="T79">
            <v>980.19909615283871</v>
          </cell>
          <cell r="Y79">
            <v>917.03950468954667</v>
          </cell>
        </row>
        <row r="80">
          <cell r="A80">
            <v>332</v>
          </cell>
          <cell r="B80" t="str">
            <v xml:space="preserve">Haiti                                           </v>
          </cell>
          <cell r="C80">
            <v>4</v>
          </cell>
          <cell r="O80">
            <v>9999.6170000000002</v>
          </cell>
          <cell r="T80">
            <v>12829.736345548656</v>
          </cell>
          <cell r="Y80">
            <v>11987.930172751978</v>
          </cell>
        </row>
        <row r="81">
          <cell r="A81">
            <v>340</v>
          </cell>
          <cell r="B81" t="str">
            <v xml:space="preserve">Honduras                                        </v>
          </cell>
          <cell r="C81">
            <v>4</v>
          </cell>
          <cell r="O81">
            <v>8194.7780000000002</v>
          </cell>
          <cell r="T81">
            <v>10514.086804554867</v>
          </cell>
          <cell r="Y81">
            <v>9824.218912104745</v>
          </cell>
        </row>
        <row r="82">
          <cell r="A82">
            <v>344</v>
          </cell>
          <cell r="B82" t="str">
            <v xml:space="preserve">Hong Kong                               </v>
          </cell>
          <cell r="C82">
            <v>20</v>
          </cell>
          <cell r="O82">
            <v>7025.2209999999995</v>
          </cell>
          <cell r="T82">
            <v>6706.4584779618872</v>
          </cell>
          <cell r="Y82">
            <v>4097.1230956617164</v>
          </cell>
        </row>
        <row r="83">
          <cell r="A83">
            <v>348</v>
          </cell>
          <cell r="B83" t="str">
            <v xml:space="preserve">Hungary                                         </v>
          </cell>
          <cell r="C83">
            <v>12</v>
          </cell>
          <cell r="O83">
            <v>9927.84</v>
          </cell>
          <cell r="T83">
            <v>9130.3748974093269</v>
          </cell>
          <cell r="Y83">
            <v>7029.9411067357523</v>
          </cell>
        </row>
        <row r="84">
          <cell r="A84">
            <v>352</v>
          </cell>
          <cell r="B84" t="str">
            <v xml:space="preserve">Iceland                                         </v>
          </cell>
          <cell r="C84">
            <v>11</v>
          </cell>
          <cell r="O84">
            <v>320.32799999999997</v>
          </cell>
          <cell r="T84">
            <v>355.89365120557403</v>
          </cell>
          <cell r="Y84">
            <v>349.1007796072974</v>
          </cell>
        </row>
        <row r="85">
          <cell r="A85">
            <v>356</v>
          </cell>
          <cell r="B85" t="str">
            <v xml:space="preserve">India                                           </v>
          </cell>
          <cell r="C85">
            <v>18</v>
          </cell>
          <cell r="O85">
            <v>1230980.6910000001</v>
          </cell>
          <cell r="T85">
            <v>1735280.5644109626</v>
          </cell>
          <cell r="Y85">
            <v>1604309.5972872125</v>
          </cell>
        </row>
        <row r="86">
          <cell r="A86">
            <v>360</v>
          </cell>
          <cell r="B86" t="str">
            <v xml:space="preserve">Indonesia                                       </v>
          </cell>
          <cell r="C86">
            <v>22</v>
          </cell>
          <cell r="O86">
            <v>242524.12299999999</v>
          </cell>
          <cell r="T86">
            <v>299114.18609678966</v>
          </cell>
          <cell r="Y86">
            <v>240458.65749278135</v>
          </cell>
        </row>
        <row r="87">
          <cell r="A87">
            <v>364</v>
          </cell>
          <cell r="B87" t="str">
            <v>Iran</v>
          </cell>
          <cell r="C87">
            <v>17</v>
          </cell>
          <cell r="O87">
            <v>74567.510999999999</v>
          </cell>
          <cell r="T87">
            <v>130744.90369690162</v>
          </cell>
          <cell r="Y87">
            <v>146208.57101117549</v>
          </cell>
        </row>
        <row r="88">
          <cell r="A88">
            <v>368</v>
          </cell>
          <cell r="B88" t="str">
            <v xml:space="preserve">Iraq                                            </v>
          </cell>
          <cell r="C88">
            <v>17</v>
          </cell>
          <cell r="O88">
            <v>30762.701000000001</v>
          </cell>
          <cell r="T88">
            <v>53938.589685547893</v>
          </cell>
          <cell r="Y88">
            <v>60318.09957628946</v>
          </cell>
        </row>
        <row r="89">
          <cell r="A89">
            <v>372</v>
          </cell>
          <cell r="B89" t="str">
            <v xml:space="preserve">Ireland                                 </v>
          </cell>
          <cell r="C89">
            <v>11</v>
          </cell>
          <cell r="O89">
            <v>4626.9279999999999</v>
          </cell>
          <cell r="T89">
            <v>5140.6505200460288</v>
          </cell>
          <cell r="Y89">
            <v>5042.531942218081</v>
          </cell>
        </row>
        <row r="90">
          <cell r="A90">
            <v>376</v>
          </cell>
          <cell r="B90" t="str">
            <v xml:space="preserve">Israel                                             </v>
          </cell>
          <cell r="C90">
            <v>17</v>
          </cell>
          <cell r="O90">
            <v>7425.9589999999998</v>
          </cell>
          <cell r="T90">
            <v>13020.50023249589</v>
          </cell>
          <cell r="Y90">
            <v>14560.481357324343</v>
          </cell>
        </row>
        <row r="91">
          <cell r="A91">
            <v>380</v>
          </cell>
          <cell r="B91" t="str">
            <v>Italy</v>
          </cell>
          <cell r="C91">
            <v>11</v>
          </cell>
          <cell r="O91">
            <v>59729.807000000001</v>
          </cell>
          <cell r="T91">
            <v>66361.539106897471</v>
          </cell>
          <cell r="Y91">
            <v>65094.909559868043</v>
          </cell>
        </row>
        <row r="92">
          <cell r="A92">
            <v>384</v>
          </cell>
          <cell r="B92" t="str">
            <v xml:space="preserve">Cote d'Ivoire                                    </v>
          </cell>
          <cell r="C92">
            <v>8</v>
          </cell>
          <cell r="O92">
            <v>20401.330999999998</v>
          </cell>
          <cell r="T92">
            <v>45456.955769388733</v>
          </cell>
          <cell r="Y92">
            <v>64441.712228890559</v>
          </cell>
        </row>
        <row r="93">
          <cell r="A93">
            <v>388</v>
          </cell>
          <cell r="B93" t="str">
            <v xml:space="preserve">Jamaica                                 </v>
          </cell>
          <cell r="C93">
            <v>4</v>
          </cell>
          <cell r="O93">
            <v>2817.21</v>
          </cell>
          <cell r="T93">
            <v>3614.5445900621121</v>
          </cell>
          <cell r="Y93">
            <v>3377.3810298913049</v>
          </cell>
        </row>
        <row r="94">
          <cell r="A94">
            <v>392</v>
          </cell>
          <cell r="B94" t="str">
            <v xml:space="preserve">Japan                                   </v>
          </cell>
          <cell r="C94">
            <v>23</v>
          </cell>
          <cell r="O94">
            <v>128551.87300000001</v>
          </cell>
          <cell r="T94">
            <v>110219.49111107414</v>
          </cell>
          <cell r="Y94">
            <v>76052.214865884394</v>
          </cell>
        </row>
        <row r="95">
          <cell r="A95">
            <v>398</v>
          </cell>
          <cell r="B95" t="str">
            <v xml:space="preserve">Kazakstan                                      </v>
          </cell>
          <cell r="C95">
            <v>15</v>
          </cell>
          <cell r="O95">
            <v>16398.975999999999</v>
          </cell>
          <cell r="T95">
            <v>20790.884858531885</v>
          </cell>
          <cell r="Y95">
            <v>18313.519316871239</v>
          </cell>
        </row>
        <row r="96">
          <cell r="A96">
            <v>400</v>
          </cell>
          <cell r="B96" t="str">
            <v xml:space="preserve">Jordan                                 </v>
          </cell>
          <cell r="C96">
            <v>17</v>
          </cell>
          <cell r="O96">
            <v>7182.39</v>
          </cell>
          <cell r="T96">
            <v>12593.432129759423</v>
          </cell>
          <cell r="Y96">
            <v>14082.902382848166</v>
          </cell>
        </row>
        <row r="97">
          <cell r="A97">
            <v>404</v>
          </cell>
          <cell r="B97" t="str">
            <v xml:space="preserve">Kenya                                           </v>
          </cell>
          <cell r="C97">
            <v>9</v>
          </cell>
          <cell r="O97">
            <v>41350.152000000002</v>
          </cell>
          <cell r="T97">
            <v>87388.956749915946</v>
          </cell>
          <cell r="Y97">
            <v>116293.47624182682</v>
          </cell>
        </row>
        <row r="98">
          <cell r="A98">
            <v>408</v>
          </cell>
          <cell r="B98" t="str">
            <v>Korea. Dem. People's Rep. of</v>
          </cell>
          <cell r="C98">
            <v>19</v>
          </cell>
          <cell r="O98">
            <v>24591.598999999998</v>
          </cell>
          <cell r="T98">
            <v>23752.632280484591</v>
          </cell>
          <cell r="Y98">
            <v>15452.094499306762</v>
          </cell>
        </row>
        <row r="99">
          <cell r="A99">
            <v>410</v>
          </cell>
          <cell r="B99" t="str">
            <v>Korea. Republic of</v>
          </cell>
          <cell r="C99">
            <v>19</v>
          </cell>
          <cell r="O99">
            <v>49552.855000000003</v>
          </cell>
          <cell r="T99">
            <v>47862.310346845377</v>
          </cell>
          <cell r="Y99">
            <v>31136.462422408797</v>
          </cell>
        </row>
        <row r="100">
          <cell r="A100">
            <v>414</v>
          </cell>
          <cell r="B100" t="str">
            <v xml:space="preserve">Kuwait                                             </v>
          </cell>
          <cell r="C100">
            <v>17</v>
          </cell>
          <cell r="O100">
            <v>2998.0830000000001</v>
          </cell>
          <cell r="T100">
            <v>5256.7675634274274</v>
          </cell>
          <cell r="Y100">
            <v>5878.5042617675426</v>
          </cell>
        </row>
        <row r="101">
          <cell r="A101">
            <v>417</v>
          </cell>
          <cell r="B101" t="str">
            <v>Kyrgyzstan</v>
          </cell>
          <cell r="C101">
            <v>15</v>
          </cell>
          <cell r="O101">
            <v>5422.3370000000004</v>
          </cell>
          <cell r="T101">
            <v>6874.5258381472859</v>
          </cell>
          <cell r="Y101">
            <v>6055.3825673069869</v>
          </cell>
        </row>
        <row r="102">
          <cell r="A102">
            <v>418</v>
          </cell>
          <cell r="B102" t="str">
            <v>Lao People's Dem. Rep.</v>
          </cell>
          <cell r="C102">
            <v>21</v>
          </cell>
          <cell r="O102">
            <v>6246.2740000000003</v>
          </cell>
          <cell r="T102">
            <v>8053.1734254754028</v>
          </cell>
          <cell r="Y102">
            <v>7203.5794619720691</v>
          </cell>
        </row>
        <row r="103">
          <cell r="A103">
            <v>422</v>
          </cell>
          <cell r="B103" t="str">
            <v>Lebanon</v>
          </cell>
          <cell r="C103">
            <v>17</v>
          </cell>
          <cell r="O103">
            <v>4337.1409999999996</v>
          </cell>
          <cell r="T103">
            <v>7604.6400739443152</v>
          </cell>
          <cell r="Y103">
            <v>8504.0680502797077</v>
          </cell>
        </row>
        <row r="104">
          <cell r="A104">
            <v>426</v>
          </cell>
          <cell r="B104" t="str">
            <v xml:space="preserve">Lesotho                                          </v>
          </cell>
          <cell r="C104">
            <v>26</v>
          </cell>
          <cell r="O104">
            <v>2040.5509999999999</v>
          </cell>
          <cell r="T104">
            <v>4385.7045960625437</v>
          </cell>
          <cell r="Y104">
            <v>5937.1985378587606</v>
          </cell>
        </row>
        <row r="105">
          <cell r="A105">
            <v>428</v>
          </cell>
          <cell r="B105" t="str">
            <v xml:space="preserve">Latvia                                          </v>
          </cell>
          <cell r="C105">
            <v>12</v>
          </cell>
          <cell r="O105">
            <v>2118.848</v>
          </cell>
          <cell r="T105">
            <v>1948.6491110479174</v>
          </cell>
          <cell r="Y105">
            <v>1500.3642941591359</v>
          </cell>
        </row>
        <row r="106">
          <cell r="A106">
            <v>430</v>
          </cell>
          <cell r="B106" t="str">
            <v xml:space="preserve">Liberia                                         </v>
          </cell>
          <cell r="C106">
            <v>8</v>
          </cell>
          <cell r="O106">
            <v>3948.125</v>
          </cell>
          <cell r="T106">
            <v>8796.9624872523236</v>
          </cell>
          <cell r="Y106">
            <v>12470.947855984914</v>
          </cell>
        </row>
        <row r="107">
          <cell r="A107">
            <v>434</v>
          </cell>
          <cell r="B107" t="str">
            <v>Libyan Arab Jamahiriya</v>
          </cell>
          <cell r="C107">
            <v>7</v>
          </cell>
          <cell r="O107">
            <v>6169.14</v>
          </cell>
          <cell r="T107">
            <v>8925.7263149977916</v>
          </cell>
          <cell r="Y107">
            <v>8705.8918202030309</v>
          </cell>
        </row>
        <row r="108">
          <cell r="A108">
            <v>438</v>
          </cell>
          <cell r="B108" t="str">
            <v xml:space="preserve">Liechtenstein                               </v>
          </cell>
          <cell r="C108">
            <v>11</v>
          </cell>
          <cell r="O108">
            <v>36.003</v>
          </cell>
          <cell r="T108">
            <v>40.000371882427643</v>
          </cell>
          <cell r="Y108">
            <v>39.23689271060141</v>
          </cell>
        </row>
        <row r="109">
          <cell r="A109">
            <v>440</v>
          </cell>
          <cell r="B109" t="str">
            <v xml:space="preserve">Lithuania                                       </v>
          </cell>
          <cell r="C109">
            <v>12</v>
          </cell>
          <cell r="O109">
            <v>3123.8029999999999</v>
          </cell>
          <cell r="T109">
            <v>2872.8799512937303</v>
          </cell>
          <cell r="Y109">
            <v>2211.9767360316505</v>
          </cell>
        </row>
        <row r="110">
          <cell r="A110">
            <v>442</v>
          </cell>
          <cell r="B110" t="str">
            <v xml:space="preserve">Luxembourg                                   </v>
          </cell>
          <cell r="C110">
            <v>11</v>
          </cell>
          <cell r="O110">
            <v>507.88900000000001</v>
          </cell>
          <cell r="T110">
            <v>564.27933436086698</v>
          </cell>
          <cell r="Y110">
            <v>553.50904652097438</v>
          </cell>
        </row>
        <row r="111">
          <cell r="A111">
            <v>450</v>
          </cell>
          <cell r="B111" t="str">
            <v xml:space="preserve">Madagascar                                      </v>
          </cell>
          <cell r="C111">
            <v>9</v>
          </cell>
          <cell r="O111">
            <v>21151.64</v>
          </cell>
          <cell r="T111">
            <v>44701.643494558186</v>
          </cell>
          <cell r="Y111">
            <v>59487.030272964264</v>
          </cell>
        </row>
        <row r="112">
          <cell r="A112">
            <v>454</v>
          </cell>
          <cell r="B112" t="str">
            <v xml:space="preserve">Malawi                                          </v>
          </cell>
          <cell r="C112">
            <v>26</v>
          </cell>
          <cell r="O112">
            <v>15167.094999999999</v>
          </cell>
          <cell r="T112">
            <v>32598.253241608381</v>
          </cell>
          <cell r="Y112">
            <v>44130.263961824487</v>
          </cell>
        </row>
        <row r="113">
          <cell r="A113">
            <v>458</v>
          </cell>
          <cell r="B113" t="str">
            <v xml:space="preserve">Malaysia                                </v>
          </cell>
          <cell r="C113">
            <v>21</v>
          </cell>
          <cell r="O113">
            <v>28112.289000000001</v>
          </cell>
          <cell r="T113">
            <v>36244.509719567934</v>
          </cell>
          <cell r="Y113">
            <v>32420.785202414001</v>
          </cell>
        </row>
        <row r="114">
          <cell r="A114">
            <v>466</v>
          </cell>
          <cell r="B114" t="str">
            <v xml:space="preserve">Mali                                            </v>
          </cell>
          <cell r="C114">
            <v>8</v>
          </cell>
          <cell r="O114">
            <v>15075.084999999999</v>
          </cell>
          <cell r="T114">
            <v>33589.351207760687</v>
          </cell>
          <cell r="Y114">
            <v>47617.691678845105</v>
          </cell>
        </row>
        <row r="115">
          <cell r="A115">
            <v>470</v>
          </cell>
          <cell r="B115" t="str">
            <v xml:space="preserve">Malta                                           </v>
          </cell>
          <cell r="C115">
            <v>12</v>
          </cell>
          <cell r="O115">
            <v>416.11</v>
          </cell>
          <cell r="T115">
            <v>382.68548833996067</v>
          </cell>
          <cell r="Y115">
            <v>294.64906706028842</v>
          </cell>
        </row>
        <row r="116">
          <cell r="A116">
            <v>474</v>
          </cell>
          <cell r="B116" t="str">
            <v xml:space="preserve">Martinique                              </v>
          </cell>
          <cell r="C116">
            <v>4</v>
          </cell>
          <cell r="O116">
            <v>394.91</v>
          </cell>
          <cell r="T116">
            <v>506.67852380952388</v>
          </cell>
          <cell r="Y116">
            <v>473.43348295454552</v>
          </cell>
        </row>
        <row r="117">
          <cell r="A117">
            <v>478</v>
          </cell>
          <cell r="B117" t="str">
            <v xml:space="preserve">Mauritania                              </v>
          </cell>
          <cell r="C117">
            <v>8</v>
          </cell>
          <cell r="O117">
            <v>3609.5430000000001</v>
          </cell>
          <cell r="T117">
            <v>8042.5554832038533</v>
          </cell>
          <cell r="Y117">
            <v>11401.468427908274</v>
          </cell>
        </row>
        <row r="118">
          <cell r="A118">
            <v>480</v>
          </cell>
          <cell r="B118" t="str">
            <v xml:space="preserve">Mauritius                                       </v>
          </cell>
          <cell r="C118">
            <v>9</v>
          </cell>
          <cell r="O118">
            <v>1247.9549999999999</v>
          </cell>
          <cell r="T118">
            <v>2637.4143805043655</v>
          </cell>
          <cell r="Y118">
            <v>3509.7579603424188</v>
          </cell>
        </row>
        <row r="119">
          <cell r="A119">
            <v>484</v>
          </cell>
          <cell r="B119" t="str">
            <v>Mexico</v>
          </cell>
          <cell r="C119">
            <v>3</v>
          </cell>
          <cell r="O119">
            <v>117318.94100000001</v>
          </cell>
          <cell r="T119">
            <v>156054.92151957485</v>
          </cell>
          <cell r="Y119">
            <v>150123.02450274123</v>
          </cell>
        </row>
        <row r="120">
          <cell r="A120">
            <v>496</v>
          </cell>
          <cell r="B120" t="str">
            <v xml:space="preserve">Mongolia                                </v>
          </cell>
          <cell r="C120">
            <v>20</v>
          </cell>
          <cell r="O120">
            <v>2712.65</v>
          </cell>
          <cell r="T120">
            <v>2589.5661631489338</v>
          </cell>
          <cell r="Y120">
            <v>1582.0229663161854</v>
          </cell>
        </row>
        <row r="121">
          <cell r="A121">
            <v>498</v>
          </cell>
          <cell r="B121" t="str">
            <v>Moldova</v>
          </cell>
          <cell r="C121">
            <v>14</v>
          </cell>
          <cell r="O121">
            <v>4084.4810000000002</v>
          </cell>
          <cell r="T121">
            <v>3467.0010683208088</v>
          </cell>
          <cell r="Y121">
            <v>2826.9962734352148</v>
          </cell>
        </row>
        <row r="122">
          <cell r="A122">
            <v>500</v>
          </cell>
          <cell r="B122" t="str">
            <v xml:space="preserve">Montserrat                              </v>
          </cell>
          <cell r="C122">
            <v>4</v>
          </cell>
          <cell r="O122">
            <v>4.944</v>
          </cell>
          <cell r="T122">
            <v>6.3432645962732925</v>
          </cell>
          <cell r="Y122">
            <v>5.9270596837944671</v>
          </cell>
        </row>
        <row r="123">
          <cell r="A123">
            <v>504</v>
          </cell>
          <cell r="B123" t="str">
            <v xml:space="preserve">Morocco                                          </v>
          </cell>
          <cell r="C123">
            <v>7</v>
          </cell>
          <cell r="O123">
            <v>32409.638999999999</v>
          </cell>
          <cell r="T123">
            <v>46891.392914065611</v>
          </cell>
          <cell r="Y123">
            <v>45736.490185963215</v>
          </cell>
        </row>
        <row r="124">
          <cell r="A124">
            <v>508</v>
          </cell>
          <cell r="B124" t="str">
            <v xml:space="preserve">Mozambique                                      </v>
          </cell>
          <cell r="C124">
            <v>26</v>
          </cell>
          <cell r="O124">
            <v>24221.404999999999</v>
          </cell>
          <cell r="T124">
            <v>52058.45246288491</v>
          </cell>
          <cell r="Y124">
            <v>70474.734692190919</v>
          </cell>
        </row>
        <row r="125">
          <cell r="A125">
            <v>512</v>
          </cell>
          <cell r="B125" t="str">
            <v xml:space="preserve">Oman                                           </v>
          </cell>
          <cell r="C125">
            <v>17</v>
          </cell>
          <cell r="O125">
            <v>3041.46</v>
          </cell>
          <cell r="T125">
            <v>5332.8237655401745</v>
          </cell>
          <cell r="Y125">
            <v>5963.5559028871148</v>
          </cell>
        </row>
        <row r="126">
          <cell r="A126">
            <v>516</v>
          </cell>
          <cell r="B126" t="str">
            <v xml:space="preserve">Namibia                                         </v>
          </cell>
          <cell r="C126">
            <v>26</v>
          </cell>
          <cell r="O126">
            <v>2173.17</v>
          </cell>
          <cell r="T126">
            <v>4670.7392547528771</v>
          </cell>
          <cell r="Y126">
            <v>6323.0675178020665</v>
          </cell>
        </row>
        <row r="127">
          <cell r="A127">
            <v>524</v>
          </cell>
          <cell r="B127" t="str">
            <v xml:space="preserve">Nepal                                            </v>
          </cell>
          <cell r="C127">
            <v>25</v>
          </cell>
          <cell r="O127">
            <v>27023.136999999999</v>
          </cell>
          <cell r="T127">
            <v>42840.599743921353</v>
          </cell>
          <cell r="Y127">
            <v>45692.673256851478</v>
          </cell>
        </row>
        <row r="128">
          <cell r="A128">
            <v>528</v>
          </cell>
          <cell r="B128" t="str">
            <v xml:space="preserve">Netherlands                                  </v>
          </cell>
          <cell r="C128">
            <v>11</v>
          </cell>
          <cell r="O128">
            <v>16682.917000000001</v>
          </cell>
          <cell r="T128">
            <v>18535.202179920401</v>
          </cell>
          <cell r="Y128">
            <v>18181.424448764505</v>
          </cell>
        </row>
        <row r="129">
          <cell r="A129">
            <v>530</v>
          </cell>
          <cell r="B129" t="str">
            <v xml:space="preserve">Netherlands Antilles                    </v>
          </cell>
          <cell r="C129">
            <v>4</v>
          </cell>
          <cell r="O129">
            <v>200.68899999999999</v>
          </cell>
          <cell r="T129">
            <v>257.48855755693586</v>
          </cell>
          <cell r="Y129">
            <v>240.59378658596839</v>
          </cell>
        </row>
        <row r="130">
          <cell r="A130">
            <v>533</v>
          </cell>
          <cell r="B130" t="str">
            <v xml:space="preserve">Aruba                                   </v>
          </cell>
          <cell r="C130">
            <v>4</v>
          </cell>
          <cell r="O130">
            <v>101.669</v>
          </cell>
          <cell r="T130">
            <v>130.44364244306419</v>
          </cell>
          <cell r="Y130">
            <v>121.88475545948617</v>
          </cell>
        </row>
        <row r="131">
          <cell r="A131">
            <v>540</v>
          </cell>
          <cell r="B131" t="str">
            <v xml:space="preserve">New Caledonia                           </v>
          </cell>
          <cell r="C131">
            <v>24</v>
          </cell>
          <cell r="O131">
            <v>251.03700000000001</v>
          </cell>
          <cell r="T131">
            <v>388.86819022047621</v>
          </cell>
          <cell r="Y131">
            <v>449.89805910590303</v>
          </cell>
        </row>
        <row r="132">
          <cell r="A132">
            <v>548</v>
          </cell>
          <cell r="B132" t="str">
            <v xml:space="preserve">Vanuatu                                         </v>
          </cell>
          <cell r="C132">
            <v>24</v>
          </cell>
          <cell r="O132">
            <v>236.29499999999999</v>
          </cell>
          <cell r="T132">
            <v>366.03213473769767</v>
          </cell>
          <cell r="Y132">
            <v>423.47806051071893</v>
          </cell>
        </row>
        <row r="133">
          <cell r="A133">
            <v>554</v>
          </cell>
          <cell r="B133" t="str">
            <v xml:space="preserve">New Zealand                             </v>
          </cell>
          <cell r="C133">
            <v>24</v>
          </cell>
          <cell r="O133">
            <v>4370.0619999999999</v>
          </cell>
          <cell r="T133">
            <v>6769.432797122633</v>
          </cell>
          <cell r="Y133">
            <v>7831.8431624519917</v>
          </cell>
        </row>
        <row r="134">
          <cell r="A134">
            <v>558</v>
          </cell>
          <cell r="B134" t="str">
            <v xml:space="preserve">Nicaragua                                       </v>
          </cell>
          <cell r="C134">
            <v>4</v>
          </cell>
          <cell r="O134">
            <v>5737.723</v>
          </cell>
          <cell r="T134">
            <v>7361.6292817805388</v>
          </cell>
          <cell r="Y134">
            <v>6878.6057180583011</v>
          </cell>
        </row>
        <row r="135">
          <cell r="A135">
            <v>562</v>
          </cell>
          <cell r="B135" t="str">
            <v xml:space="preserve">Niger                                       </v>
          </cell>
          <cell r="C135">
            <v>8</v>
          </cell>
          <cell r="O135">
            <v>16425.578000000001</v>
          </cell>
          <cell r="T135">
            <v>36598.43431943949</v>
          </cell>
          <cell r="Y135">
            <v>51883.495771388443</v>
          </cell>
        </row>
        <row r="136">
          <cell r="A136">
            <v>566</v>
          </cell>
          <cell r="B136" t="str">
            <v xml:space="preserve">Nigeria                                 </v>
          </cell>
          <cell r="C136">
            <v>8</v>
          </cell>
          <cell r="O136">
            <v>158578.261</v>
          </cell>
          <cell r="T136">
            <v>353334.05434496322</v>
          </cell>
          <cell r="Y136">
            <v>500901.37065664493</v>
          </cell>
        </row>
        <row r="137">
          <cell r="A137">
            <v>578</v>
          </cell>
          <cell r="B137" t="str">
            <v xml:space="preserve">Norway                                           </v>
          </cell>
          <cell r="C137">
            <v>11</v>
          </cell>
          <cell r="O137">
            <v>4885.8779999999997</v>
          </cell>
          <cell r="T137">
            <v>5428.3514421623695</v>
          </cell>
          <cell r="Y137">
            <v>5324.7415738435075</v>
          </cell>
        </row>
        <row r="138">
          <cell r="A138">
            <v>586</v>
          </cell>
          <cell r="B138" t="str">
            <v xml:space="preserve">Pakistan                                </v>
          </cell>
          <cell r="C138">
            <v>25</v>
          </cell>
          <cell r="O138">
            <v>170560.182</v>
          </cell>
          <cell r="T138">
            <v>270394.23621737107</v>
          </cell>
          <cell r="Y138">
            <v>288395.48372030683</v>
          </cell>
        </row>
        <row r="139">
          <cell r="A139">
            <v>591</v>
          </cell>
          <cell r="B139" t="str">
            <v xml:space="preserve">Panama                                          </v>
          </cell>
          <cell r="C139">
            <v>4</v>
          </cell>
          <cell r="O139">
            <v>3643.2220000000002</v>
          </cell>
          <cell r="T139">
            <v>4674.3367979296072</v>
          </cell>
          <cell r="Y139">
            <v>4367.6363744565224</v>
          </cell>
        </row>
        <row r="140">
          <cell r="A140">
            <v>598</v>
          </cell>
          <cell r="B140" t="str">
            <v xml:space="preserve">Papua New Guinea                                            </v>
          </cell>
          <cell r="C140">
            <v>22</v>
          </cell>
          <cell r="O140">
            <v>7108.2389999999996</v>
          </cell>
          <cell r="T140">
            <v>8766.8603715204772</v>
          </cell>
          <cell r="Y140">
            <v>7047.7014242324694</v>
          </cell>
        </row>
        <row r="141">
          <cell r="A141">
            <v>600</v>
          </cell>
          <cell r="B141" t="str">
            <v xml:space="preserve">Paraguay                                        </v>
          </cell>
          <cell r="C141">
            <v>6</v>
          </cell>
          <cell r="O141">
            <v>6209.8770000000004</v>
          </cell>
          <cell r="T141">
            <v>8153.3278449577811</v>
          </cell>
          <cell r="Y141">
            <v>7627.9643164920089</v>
          </cell>
        </row>
        <row r="142">
          <cell r="A142">
            <v>604</v>
          </cell>
          <cell r="B142" t="str">
            <v xml:space="preserve">Peru                                            </v>
          </cell>
          <cell r="C142">
            <v>6</v>
          </cell>
          <cell r="O142">
            <v>29373.646000000001</v>
          </cell>
          <cell r="T142">
            <v>38566.458858964957</v>
          </cell>
          <cell r="Y142">
            <v>36081.410877102433</v>
          </cell>
        </row>
        <row r="143">
          <cell r="A143">
            <v>608</v>
          </cell>
          <cell r="B143" t="str">
            <v xml:space="preserve">Philippines                                 </v>
          </cell>
          <cell r="C143">
            <v>21</v>
          </cell>
          <cell r="O143">
            <v>93726.623999999996</v>
          </cell>
          <cell r="T143">
            <v>120839.52091379998</v>
          </cell>
          <cell r="Y143">
            <v>108091.18903307449</v>
          </cell>
        </row>
        <row r="144">
          <cell r="A144">
            <v>616</v>
          </cell>
          <cell r="B144" t="str">
            <v xml:space="preserve">Poland                                          </v>
          </cell>
          <cell r="C144">
            <v>12</v>
          </cell>
          <cell r="O144">
            <v>38323.402000000002</v>
          </cell>
          <cell r="T144">
            <v>35245.030903411658</v>
          </cell>
          <cell r="Y144">
            <v>27136.946110106444</v>
          </cell>
        </row>
        <row r="145">
          <cell r="A145">
            <v>620</v>
          </cell>
          <cell r="B145" t="str">
            <v>Portugal</v>
          </cell>
          <cell r="C145">
            <v>11</v>
          </cell>
          <cell r="O145">
            <v>10652.321</v>
          </cell>
          <cell r="T145">
            <v>11835.036008415786</v>
          </cell>
          <cell r="Y145">
            <v>11609.143021300622</v>
          </cell>
        </row>
        <row r="146">
          <cell r="A146">
            <v>624</v>
          </cell>
          <cell r="B146" t="str">
            <v xml:space="preserve">Guinea-Bissau                                   </v>
          </cell>
          <cell r="C146">
            <v>8</v>
          </cell>
          <cell r="O146">
            <v>1555.88</v>
          </cell>
          <cell r="T146">
            <v>3466.7134385730301</v>
          </cell>
          <cell r="Y146">
            <v>4914.5602913205157</v>
          </cell>
        </row>
        <row r="147">
          <cell r="A147">
            <v>626</v>
          </cell>
          <cell r="B147" t="str">
            <v>East Timor</v>
          </cell>
          <cell r="C147">
            <v>22</v>
          </cell>
          <cell r="O147">
            <v>1109.5909999999999</v>
          </cell>
          <cell r="T147">
            <v>1368.5006042278233</v>
          </cell>
          <cell r="Y147">
            <v>1100.1411279243043</v>
          </cell>
        </row>
        <row r="148">
          <cell r="A148">
            <v>630</v>
          </cell>
          <cell r="B148" t="str">
            <v xml:space="preserve">Puerto Rico                                                 </v>
          </cell>
          <cell r="C148">
            <v>4</v>
          </cell>
          <cell r="O148">
            <v>3716.6930000000002</v>
          </cell>
          <cell r="T148">
            <v>4768.6017641821954</v>
          </cell>
          <cell r="Y148">
            <v>4455.7162696887362</v>
          </cell>
        </row>
        <row r="149">
          <cell r="A149">
            <v>634</v>
          </cell>
          <cell r="B149" t="str">
            <v xml:space="preserve">Qatar                                              </v>
          </cell>
          <cell r="C149">
            <v>17</v>
          </cell>
          <cell r="O149">
            <v>1779.6759999999999</v>
          </cell>
          <cell r="T149">
            <v>3120.4416522859005</v>
          </cell>
          <cell r="Y149">
            <v>3489.507445446111</v>
          </cell>
        </row>
        <row r="150">
          <cell r="A150">
            <v>638</v>
          </cell>
          <cell r="B150" t="str">
            <v xml:space="preserve">Reunion                                 </v>
          </cell>
          <cell r="C150">
            <v>9</v>
          </cell>
          <cell r="O150">
            <v>830.51900000000001</v>
          </cell>
          <cell r="T150">
            <v>1755.2097262177765</v>
          </cell>
          <cell r="Y150">
            <v>2335.7578369938224</v>
          </cell>
        </row>
        <row r="151">
          <cell r="A151">
            <v>642</v>
          </cell>
          <cell r="B151" t="str">
            <v xml:space="preserve">Romania                                 </v>
          </cell>
          <cell r="C151">
            <v>12</v>
          </cell>
          <cell r="O151">
            <v>20440.347000000002</v>
          </cell>
          <cell r="T151">
            <v>18798.452749352935</v>
          </cell>
          <cell r="Y151">
            <v>14473.887130659119</v>
          </cell>
        </row>
        <row r="152">
          <cell r="A152">
            <v>643</v>
          </cell>
          <cell r="B152" t="str">
            <v xml:space="preserve">Russian Federation                      </v>
          </cell>
          <cell r="C152">
            <v>16</v>
          </cell>
          <cell r="O152">
            <v>143153.86900000001</v>
          </cell>
          <cell r="T152">
            <v>138543.14524664052</v>
          </cell>
          <cell r="Y152">
            <v>122538.25601624721</v>
          </cell>
        </row>
        <row r="153">
          <cell r="A153">
            <v>646</v>
          </cell>
          <cell r="B153" t="str">
            <v>Rwanda</v>
          </cell>
          <cell r="C153">
            <v>9</v>
          </cell>
          <cell r="O153">
            <v>10246.842000000001</v>
          </cell>
          <cell r="T153">
            <v>21655.563257934875</v>
          </cell>
          <cell r="Y153">
            <v>28818.294952839671</v>
          </cell>
        </row>
        <row r="154">
          <cell r="A154">
            <v>659</v>
          </cell>
          <cell r="B154" t="str">
            <v xml:space="preserve">Saint Kitts and Nevis </v>
          </cell>
          <cell r="C154">
            <v>4</v>
          </cell>
          <cell r="O154">
            <v>51.445</v>
          </cell>
          <cell r="T154">
            <v>66.005106625258804</v>
          </cell>
          <cell r="Y154">
            <v>61.674268898221349</v>
          </cell>
        </row>
        <row r="155">
          <cell r="A155">
            <v>660</v>
          </cell>
          <cell r="B155" t="str">
            <v xml:space="preserve">Anguilla                                </v>
          </cell>
          <cell r="C155">
            <v>4</v>
          </cell>
          <cell r="O155">
            <v>13.769</v>
          </cell>
          <cell r="T155">
            <v>17.665940579710146</v>
          </cell>
          <cell r="Y155">
            <v>16.50681326581028</v>
          </cell>
        </row>
        <row r="156">
          <cell r="A156">
            <v>662</v>
          </cell>
          <cell r="B156" t="str">
            <v xml:space="preserve">Saint Lucia                             </v>
          </cell>
          <cell r="C156">
            <v>4</v>
          </cell>
          <cell r="O156">
            <v>172.58</v>
          </cell>
          <cell r="T156">
            <v>221.42407039337479</v>
          </cell>
          <cell r="Y156">
            <v>206.89562302371544</v>
          </cell>
        </row>
        <row r="157">
          <cell r="A157">
            <v>666</v>
          </cell>
          <cell r="B157" t="str">
            <v xml:space="preserve">Saint Pierre and Miquelon    </v>
          </cell>
          <cell r="C157">
            <v>2</v>
          </cell>
          <cell r="O157">
            <v>6.274</v>
          </cell>
          <cell r="T157">
            <v>8.1043650558728917</v>
          </cell>
          <cell r="Y157">
            <v>9.2376131282662719</v>
          </cell>
        </row>
        <row r="158">
          <cell r="A158">
            <v>670</v>
          </cell>
          <cell r="B158" t="str">
            <v>Saint Vincent &amp; the Grenadines</v>
          </cell>
          <cell r="C158">
            <v>4</v>
          </cell>
          <cell r="O158">
            <v>109.315</v>
          </cell>
          <cell r="T158">
            <v>140.25363457556938</v>
          </cell>
          <cell r="Y158">
            <v>131.05107793972334</v>
          </cell>
        </row>
        <row r="159">
          <cell r="A159">
            <v>678</v>
          </cell>
          <cell r="B159" t="str">
            <v xml:space="preserve">Sao Tome and Principe                </v>
          </cell>
          <cell r="C159">
            <v>8</v>
          </cell>
          <cell r="O159">
            <v>174.77600000000001</v>
          </cell>
          <cell r="T159">
            <v>389.42483221073599</v>
          </cell>
          <cell r="Y159">
            <v>552.06519106604264</v>
          </cell>
        </row>
        <row r="160">
          <cell r="A160">
            <v>682</v>
          </cell>
          <cell r="B160" t="str">
            <v xml:space="preserve">Saudi Arabia                                     </v>
          </cell>
          <cell r="C160">
            <v>17</v>
          </cell>
          <cell r="O160">
            <v>27425.675999999999</v>
          </cell>
          <cell r="T160">
            <v>48087.529265157122</v>
          </cell>
          <cell r="Y160">
            <v>53775.013316127603</v>
          </cell>
        </row>
        <row r="161">
          <cell r="A161">
            <v>686</v>
          </cell>
          <cell r="B161" t="str">
            <v xml:space="preserve">Senegal                                         </v>
          </cell>
          <cell r="C161">
            <v>8</v>
          </cell>
          <cell r="O161">
            <v>12916.228999999999</v>
          </cell>
          <cell r="T161">
            <v>28779.124771824747</v>
          </cell>
          <cell r="Y161">
            <v>40798.510268788392</v>
          </cell>
        </row>
        <row r="162">
          <cell r="A162">
            <v>694</v>
          </cell>
          <cell r="B162" t="str">
            <v xml:space="preserve">Sierra Leone                                    </v>
          </cell>
          <cell r="C162">
            <v>8</v>
          </cell>
          <cell r="O162">
            <v>6458.72</v>
          </cell>
          <cell r="T162">
            <v>14390.911522726947</v>
          </cell>
          <cell r="Y162">
            <v>20401.167728075197</v>
          </cell>
        </row>
        <row r="163">
          <cell r="A163">
            <v>702</v>
          </cell>
          <cell r="B163" t="str">
            <v xml:space="preserve">Singapore                                       </v>
          </cell>
          <cell r="C163">
            <v>21</v>
          </cell>
          <cell r="O163">
            <v>5074.2520000000004</v>
          </cell>
          <cell r="T163">
            <v>6542.1131638742418</v>
          </cell>
          <cell r="Y163">
            <v>5851.9330871605534</v>
          </cell>
        </row>
        <row r="164">
          <cell r="A164">
            <v>703</v>
          </cell>
          <cell r="B164" t="str">
            <v>Slovakia</v>
          </cell>
          <cell r="C164">
            <v>12</v>
          </cell>
          <cell r="O164">
            <v>5404.2939999999999</v>
          </cell>
          <cell r="T164">
            <v>4970.1879034935937</v>
          </cell>
          <cell r="Y164">
            <v>3826.8010507306108</v>
          </cell>
        </row>
        <row r="165">
          <cell r="A165">
            <v>704</v>
          </cell>
          <cell r="B165" t="str">
            <v xml:space="preserve">Viet Nam                              </v>
          </cell>
          <cell r="C165">
            <v>21</v>
          </cell>
          <cell r="O165">
            <v>88472.512000000002</v>
          </cell>
          <cell r="T165">
            <v>114065.51850326349</v>
          </cell>
          <cell r="Y165">
            <v>102031.83055887037</v>
          </cell>
        </row>
        <row r="166">
          <cell r="A166">
            <v>705</v>
          </cell>
          <cell r="B166" t="str">
            <v xml:space="preserve">Slovenia                                        </v>
          </cell>
          <cell r="C166">
            <v>12</v>
          </cell>
          <cell r="O166">
            <v>2045.1679999999999</v>
          </cell>
          <cell r="T166">
            <v>1880.8875413166245</v>
          </cell>
          <cell r="Y166">
            <v>1448.1912070884043</v>
          </cell>
        </row>
        <row r="167">
          <cell r="A167">
            <v>706</v>
          </cell>
          <cell r="B167" t="str">
            <v>Somalia</v>
          </cell>
          <cell r="C167">
            <v>9</v>
          </cell>
          <cell r="O167">
            <v>12053.223</v>
          </cell>
          <cell r="T167">
            <v>25473.149009079632</v>
          </cell>
          <cell r="Y167">
            <v>33898.574365287473</v>
          </cell>
        </row>
        <row r="168">
          <cell r="A168">
            <v>710</v>
          </cell>
          <cell r="B168" t="str">
            <v xml:space="preserve">South Africa                                    </v>
          </cell>
          <cell r="C168">
            <v>10</v>
          </cell>
          <cell r="O168">
            <v>51584.663</v>
          </cell>
          <cell r="T168">
            <v>66405.016179380633</v>
          </cell>
          <cell r="Y168">
            <v>61600.927564249097</v>
          </cell>
        </row>
        <row r="169">
          <cell r="A169">
            <v>716</v>
          </cell>
          <cell r="B169" t="str">
            <v xml:space="preserve">Zimbabwe                                        </v>
          </cell>
          <cell r="C169">
            <v>26</v>
          </cell>
          <cell r="O169">
            <v>14086.316999999999</v>
          </cell>
          <cell r="T169">
            <v>30275.364452294474</v>
          </cell>
          <cell r="Y169">
            <v>40985.626282418329</v>
          </cell>
        </row>
        <row r="170">
          <cell r="A170">
            <v>724</v>
          </cell>
          <cell r="B170" t="str">
            <v xml:space="preserve">Spain                                            </v>
          </cell>
          <cell r="C170">
            <v>11</v>
          </cell>
          <cell r="O170">
            <v>46788.63</v>
          </cell>
          <cell r="T170">
            <v>51983.518036533358</v>
          </cell>
          <cell r="Y170">
            <v>50991.318928590015</v>
          </cell>
        </row>
        <row r="171">
          <cell r="A171">
            <v>732</v>
          </cell>
          <cell r="B171" t="str">
            <v xml:space="preserve">Western Sahara                          </v>
          </cell>
          <cell r="C171">
            <v>7</v>
          </cell>
          <cell r="O171">
            <v>480.274</v>
          </cell>
          <cell r="T171">
            <v>694.87712715374425</v>
          </cell>
          <cell r="Y171">
            <v>677.76278185552439</v>
          </cell>
        </row>
        <row r="172">
          <cell r="A172">
            <v>736</v>
          </cell>
          <cell r="B172" t="str">
            <v xml:space="preserve">Sudan                                       </v>
          </cell>
          <cell r="C172">
            <v>9</v>
          </cell>
          <cell r="O172">
            <v>44453.154999999999</v>
          </cell>
          <cell r="T172">
            <v>93946.809184457408</v>
          </cell>
          <cell r="Y172">
            <v>125020.38504880817</v>
          </cell>
        </row>
        <row r="173">
          <cell r="A173">
            <v>740</v>
          </cell>
          <cell r="B173" t="str">
            <v xml:space="preserve">Suriname                                        </v>
          </cell>
          <cell r="C173">
            <v>6</v>
          </cell>
          <cell r="O173">
            <v>526.10299999999995</v>
          </cell>
          <cell r="T173">
            <v>690.75285053404809</v>
          </cell>
          <cell r="Y173">
            <v>646.24386454021464</v>
          </cell>
        </row>
        <row r="174">
          <cell r="A174">
            <v>748</v>
          </cell>
          <cell r="B174" t="str">
            <v xml:space="preserve">Swaziland                                        </v>
          </cell>
          <cell r="C174">
            <v>26</v>
          </cell>
          <cell r="O174">
            <v>1202.8430000000001</v>
          </cell>
          <cell r="T174">
            <v>2585.2400030392077</v>
          </cell>
          <cell r="Y174">
            <v>3499.7986822547664</v>
          </cell>
        </row>
        <row r="175">
          <cell r="A175">
            <v>752</v>
          </cell>
          <cell r="B175" t="str">
            <v xml:space="preserve">Sweden                                           </v>
          </cell>
          <cell r="C175">
            <v>11</v>
          </cell>
          <cell r="O175">
            <v>9390.1679999999997</v>
          </cell>
          <cell r="T175">
            <v>10432.747605434875</v>
          </cell>
          <cell r="Y175">
            <v>10233.61981919625</v>
          </cell>
        </row>
        <row r="176">
          <cell r="A176">
            <v>756</v>
          </cell>
          <cell r="B176" t="str">
            <v>Switzerland</v>
          </cell>
          <cell r="C176">
            <v>11</v>
          </cell>
          <cell r="O176">
            <v>7831.9709999999995</v>
          </cell>
          <cell r="T176">
            <v>8701.5457759739111</v>
          </cell>
          <cell r="Y176">
            <v>8535.461096007044</v>
          </cell>
        </row>
        <row r="177">
          <cell r="A177">
            <v>760</v>
          </cell>
          <cell r="B177" t="str">
            <v>Syria</v>
          </cell>
          <cell r="C177">
            <v>17</v>
          </cell>
          <cell r="O177">
            <v>21018.833999999999</v>
          </cell>
          <cell r="T177">
            <v>36853.924588567279</v>
          </cell>
          <cell r="Y177">
            <v>41212.770042185126</v>
          </cell>
        </row>
        <row r="178">
          <cell r="A178">
            <v>762</v>
          </cell>
          <cell r="B178" t="str">
            <v xml:space="preserve">Tajikistan                                      </v>
          </cell>
          <cell r="C178">
            <v>15</v>
          </cell>
          <cell r="O178">
            <v>7641.63</v>
          </cell>
          <cell r="T178">
            <v>9688.1811072534674</v>
          </cell>
          <cell r="Y178">
            <v>8533.7730000570027</v>
          </cell>
        </row>
        <row r="179">
          <cell r="A179">
            <v>764</v>
          </cell>
          <cell r="B179" t="str">
            <v xml:space="preserve">Thailand                                         </v>
          </cell>
          <cell r="C179">
            <v>21</v>
          </cell>
          <cell r="O179">
            <v>67208.808000000005</v>
          </cell>
          <cell r="T179">
            <v>86650.727544689624</v>
          </cell>
          <cell r="Y179">
            <v>77509.246147771308</v>
          </cell>
        </row>
        <row r="180">
          <cell r="A180">
            <v>768</v>
          </cell>
          <cell r="B180" t="str">
            <v>Togo</v>
          </cell>
          <cell r="C180">
            <v>8</v>
          </cell>
          <cell r="O180">
            <v>6502.9520000000002</v>
          </cell>
          <cell r="T180">
            <v>14489.466468362189</v>
          </cell>
          <cell r="Y180">
            <v>20540.88340718007</v>
          </cell>
        </row>
        <row r="181">
          <cell r="A181">
            <v>776</v>
          </cell>
          <cell r="B181" t="str">
            <v xml:space="preserve">Tonga                                            </v>
          </cell>
          <cell r="C181">
            <v>24</v>
          </cell>
          <cell r="O181">
            <v>104.137</v>
          </cell>
          <cell r="T181">
            <v>161.31313999525858</v>
          </cell>
          <cell r="Y181">
            <v>186.62999550309883</v>
          </cell>
        </row>
        <row r="182">
          <cell r="A182">
            <v>780</v>
          </cell>
          <cell r="B182" t="str">
            <v xml:space="preserve">Trinidad and Tobago                             </v>
          </cell>
          <cell r="C182">
            <v>4</v>
          </cell>
          <cell r="O182">
            <v>1328.1</v>
          </cell>
          <cell r="T182">
            <v>1703.982546583851</v>
          </cell>
          <cell r="Y182">
            <v>1592.1779866600791</v>
          </cell>
        </row>
        <row r="183">
          <cell r="A183">
            <v>784</v>
          </cell>
          <cell r="B183" t="str">
            <v xml:space="preserve">United Arab Emirates                    </v>
          </cell>
          <cell r="C183">
            <v>17</v>
          </cell>
          <cell r="O183">
            <v>8270.6839999999993</v>
          </cell>
          <cell r="T183">
            <v>14501.620995335421</v>
          </cell>
          <cell r="Y183">
            <v>16216.779569389046</v>
          </cell>
        </row>
        <row r="184">
          <cell r="A184">
            <v>788</v>
          </cell>
          <cell r="B184" t="str">
            <v xml:space="preserve">Tunisia                                         </v>
          </cell>
          <cell r="C184">
            <v>7</v>
          </cell>
          <cell r="O184">
            <v>10639.931</v>
          </cell>
          <cell r="T184">
            <v>15394.22222813241</v>
          </cell>
          <cell r="Y184">
            <v>15015.073131818155</v>
          </cell>
        </row>
        <row r="185">
          <cell r="A185">
            <v>792</v>
          </cell>
          <cell r="B185" t="str">
            <v xml:space="preserve">Turkey                                          </v>
          </cell>
          <cell r="C185">
            <v>13</v>
          </cell>
          <cell r="O185">
            <v>72326.914000000004</v>
          </cell>
          <cell r="T185">
            <v>97409.394175786918</v>
          </cell>
          <cell r="Y185">
            <v>91109.481666670268</v>
          </cell>
        </row>
        <row r="186">
          <cell r="A186">
            <v>795</v>
          </cell>
          <cell r="B186" t="str">
            <v xml:space="preserve">Turkmenistan                            </v>
          </cell>
          <cell r="C186">
            <v>15</v>
          </cell>
          <cell r="O186">
            <v>5087.21</v>
          </cell>
          <cell r="T186">
            <v>6449.646451166951</v>
          </cell>
          <cell r="Y186">
            <v>5681.1302488631327</v>
          </cell>
        </row>
        <row r="187">
          <cell r="A187">
            <v>796</v>
          </cell>
          <cell r="B187" t="str">
            <v xml:space="preserve">Turks and Caicos Islands                                    </v>
          </cell>
          <cell r="C187">
            <v>4</v>
          </cell>
          <cell r="O187">
            <v>30.994</v>
          </cell>
          <cell r="T187">
            <v>39.766007867494828</v>
          </cell>
          <cell r="Y187">
            <v>37.156813883399217</v>
          </cell>
        </row>
        <row r="188">
          <cell r="A188">
            <v>800</v>
          </cell>
          <cell r="B188" t="str">
            <v xml:space="preserve">Uganda                                          </v>
          </cell>
          <cell r="C188">
            <v>9</v>
          </cell>
          <cell r="O188">
            <v>33915.133000000002</v>
          </cell>
          <cell r="T188">
            <v>71675.869314933763</v>
          </cell>
          <cell r="Y188">
            <v>95383.173289759536</v>
          </cell>
        </row>
        <row r="189">
          <cell r="A189">
            <v>804</v>
          </cell>
          <cell r="B189" t="str">
            <v xml:space="preserve">Ukraine                                 </v>
          </cell>
          <cell r="C189">
            <v>14</v>
          </cell>
          <cell r="O189">
            <v>45792.500999999997</v>
          </cell>
          <cell r="T189">
            <v>38869.724179909688</v>
          </cell>
          <cell r="Y189">
            <v>31694.413483201006</v>
          </cell>
        </row>
        <row r="190">
          <cell r="A190">
            <v>807</v>
          </cell>
          <cell r="B190" t="str">
            <v>Macedonia. F. Yug. Rep. of</v>
          </cell>
          <cell r="C190">
            <v>12</v>
          </cell>
          <cell r="O190">
            <v>2070.739</v>
          </cell>
          <cell r="T190">
            <v>1904.4045214957625</v>
          </cell>
          <cell r="Y190">
            <v>1466.2981290412501</v>
          </cell>
        </row>
        <row r="191">
          <cell r="A191">
            <v>818</v>
          </cell>
          <cell r="B191" t="str">
            <v xml:space="preserve">Egypt                                      </v>
          </cell>
          <cell r="C191">
            <v>7</v>
          </cell>
          <cell r="O191">
            <v>84107.606</v>
          </cell>
          <cell r="T191">
            <v>121689.8096275439</v>
          </cell>
          <cell r="Y191">
            <v>118692.67338595967</v>
          </cell>
        </row>
        <row r="192">
          <cell r="A192">
            <v>826</v>
          </cell>
          <cell r="B192" t="str">
            <v>United Kingdom</v>
          </cell>
          <cell r="C192">
            <v>11</v>
          </cell>
          <cell r="O192">
            <v>63306.843000000001</v>
          </cell>
          <cell r="T192">
            <v>70335.729319847276</v>
          </cell>
          <cell r="Y192">
            <v>68993.245191730908</v>
          </cell>
        </row>
        <row r="193">
          <cell r="A193">
            <v>834</v>
          </cell>
          <cell r="B193" t="str">
            <v>Tanzania</v>
          </cell>
          <cell r="C193">
            <v>26</v>
          </cell>
          <cell r="O193">
            <v>46098.591</v>
          </cell>
          <cell r="T193">
            <v>99078.534386402214</v>
          </cell>
          <cell r="Y193">
            <v>134128.71674491305</v>
          </cell>
        </row>
        <row r="194">
          <cell r="A194">
            <v>840</v>
          </cell>
          <cell r="B194" t="str">
            <v>United States</v>
          </cell>
          <cell r="C194">
            <v>2</v>
          </cell>
          <cell r="O194">
            <v>308641.391</v>
          </cell>
          <cell r="T194">
            <v>398683.85464080365</v>
          </cell>
          <cell r="Y194">
            <v>454432.54150907934</v>
          </cell>
        </row>
        <row r="195">
          <cell r="A195">
            <v>850</v>
          </cell>
          <cell r="B195" t="str">
            <v>Virgin Islands. U.S.</v>
          </cell>
          <cell r="C195">
            <v>4</v>
          </cell>
          <cell r="O195">
            <v>106.149</v>
          </cell>
          <cell r="T195">
            <v>136.1915844720497</v>
          </cell>
          <cell r="Y195">
            <v>127.25555387845851</v>
          </cell>
        </row>
        <row r="196">
          <cell r="A196">
            <v>854</v>
          </cell>
          <cell r="B196" t="str">
            <v xml:space="preserve">Burkina Faso                            </v>
          </cell>
          <cell r="C196">
            <v>8</v>
          </cell>
          <cell r="O196">
            <v>15605.217000000001</v>
          </cell>
          <cell r="T196">
            <v>34770.557810209211</v>
          </cell>
          <cell r="Y196">
            <v>49292.220354808764</v>
          </cell>
        </row>
        <row r="197">
          <cell r="A197">
            <v>858</v>
          </cell>
          <cell r="B197" t="str">
            <v xml:space="preserve">Uruguay                                 </v>
          </cell>
          <cell r="C197">
            <v>6</v>
          </cell>
          <cell r="O197">
            <v>3374.415</v>
          </cell>
          <cell r="T197">
            <v>4430.4761237530483</v>
          </cell>
          <cell r="Y197">
            <v>4144.9963033141203</v>
          </cell>
        </row>
        <row r="198">
          <cell r="A198">
            <v>860</v>
          </cell>
          <cell r="B198" t="str">
            <v xml:space="preserve">Uzbekistan                                      </v>
          </cell>
          <cell r="C198">
            <v>15</v>
          </cell>
          <cell r="O198">
            <v>28606.294000000002</v>
          </cell>
          <cell r="T198">
            <v>36267.51845867154</v>
          </cell>
          <cell r="Y198">
            <v>31946.01405313953</v>
          </cell>
        </row>
        <row r="199">
          <cell r="A199">
            <v>862</v>
          </cell>
          <cell r="B199" t="str">
            <v xml:space="preserve">Venezuela                                       </v>
          </cell>
          <cell r="C199">
            <v>6</v>
          </cell>
          <cell r="O199">
            <v>29028.032999999999</v>
          </cell>
          <cell r="T199">
            <v>38112.682383765947</v>
          </cell>
          <cell r="Y199">
            <v>35656.873703287914</v>
          </cell>
        </row>
        <row r="200">
          <cell r="A200">
            <v>882</v>
          </cell>
          <cell r="B200" t="str">
            <v xml:space="preserve">Samoa                          </v>
          </cell>
          <cell r="C200">
            <v>24</v>
          </cell>
          <cell r="O200">
            <v>186.20500000000001</v>
          </cell>
          <cell r="T200">
            <v>288.44035484810513</v>
          </cell>
          <cell r="Y200">
            <v>333.70884808141699</v>
          </cell>
        </row>
        <row r="201">
          <cell r="A201">
            <v>887</v>
          </cell>
          <cell r="B201" t="str">
            <v xml:space="preserve">Yemen                                           </v>
          </cell>
          <cell r="C201">
            <v>17</v>
          </cell>
          <cell r="O201">
            <v>23606.778999999999</v>
          </cell>
          <cell r="T201">
            <v>41391.565918688626</v>
          </cell>
          <cell r="Y201">
            <v>46287.094439381603</v>
          </cell>
        </row>
        <row r="202">
          <cell r="A202">
            <v>891</v>
          </cell>
          <cell r="B202" t="str">
            <v xml:space="preserve">Yugoslavia                              </v>
          </cell>
          <cell r="C202">
            <v>12</v>
          </cell>
          <cell r="O202">
            <v>9654.0010000000002</v>
          </cell>
          <cell r="T202">
            <v>8878.5323282773024</v>
          </cell>
          <cell r="Y202">
            <v>6836.0346736418051</v>
          </cell>
        </row>
        <row r="203">
          <cell r="A203">
            <v>894</v>
          </cell>
          <cell r="B203" t="str">
            <v xml:space="preserve">Zambia                                          </v>
          </cell>
          <cell r="C203">
            <v>26</v>
          </cell>
          <cell r="O203">
            <v>13850.032999999999</v>
          </cell>
          <cell r="T203">
            <v>29767.525233977442</v>
          </cell>
          <cell r="Y203">
            <v>40298.133041955625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1" Type="http://schemas.openxmlformats.org/officeDocument/2006/relationships/customProperty" Target="../customProperty6.bin"/></Relationships>
</file>

<file path=xl/worksheets/_rels/sheet7.xml.rels><?xml version="1.0" encoding="UTF-8" standalone="yes"?>
<Relationships xmlns="http://schemas.openxmlformats.org/package/2006/relationships"><Relationship Id="rId1" Type="http://schemas.openxmlformats.org/officeDocument/2006/relationships/customProperty" Target="../customProperty7.bin"/></Relationships>
</file>

<file path=xl/worksheets/_rels/sheet8.xml.rels><?xml version="1.0" encoding="UTF-8" standalone="yes"?>
<Relationships xmlns="http://schemas.openxmlformats.org/package/2006/relationships"><Relationship Id="rId1" Type="http://schemas.openxmlformats.org/officeDocument/2006/relationships/customProperty" Target="../customProperty8.bin"/></Relationships>
</file>

<file path=xl/worksheets/_rels/sheet9.xml.rels><?xml version="1.0" encoding="UTF-8" standalone="yes"?>
<Relationships xmlns="http://schemas.openxmlformats.org/package/2006/relationships"><Relationship Id="rId1" Type="http://schemas.openxmlformats.org/officeDocument/2006/relationships/customProperty" Target="../customProperty9.bin"/></Relationships>
</file>

<file path=xl/worksheets/_rels/sheet10.xml.rels><?xml version="1.0" encoding="UTF-8" standalone="yes"?>
<Relationships xmlns="http://schemas.openxmlformats.org/package/2006/relationships"><Relationship Id="rId1" Type="http://schemas.openxmlformats.org/officeDocument/2006/relationships/customProperty" Target="../customProperty10.bin"/></Relationships>
</file>

<file path=xl/worksheets/_rels/sheet11.xml.rels><?xml version="1.0" encoding="UTF-8" standalone="yes"?>
<Relationships xmlns="http://schemas.openxmlformats.org/package/2006/relationships"><Relationship Id="rId1" Type="http://schemas.openxmlformats.org/officeDocument/2006/relationships/customProperty" Target="../customProperty11.bin"/></Relationships>
</file>

<file path=xl/worksheets/_rels/sheet12.xml.rels><?xml version="1.0" encoding="UTF-8" standalone="yes"?>
<Relationships xmlns="http://schemas.openxmlformats.org/package/2006/relationships"><Relationship Id="rId1" Type="http://schemas.openxmlformats.org/officeDocument/2006/relationships/customProperty" Target="../customProperty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D5312-D8F5-4F14-9545-23638D817679}">
  <dimension ref="A1:C41"/>
  <sheetViews>
    <sheetView tabSelected="1" workbookViewId="0"/>
  </sheetViews>
  <sheetFormatPr defaultRowHeight="15"/>
  <sheetData>
    <row r="1" spans="1:1">
      <c r="A1" s="4" t="s">
        <v>0</v>
      </c>
    </row>
    <row r="2" spans="1:1">
      <c r="A2" s="4"/>
    </row>
    <row r="3" spans="1:1">
      <c r="A3" s="4" t="s">
        <v>1</v>
      </c>
    </row>
    <row r="4" spans="1:1">
      <c r="A4" s="4" t="s">
        <v>2</v>
      </c>
    </row>
    <row r="5" spans="1:1">
      <c r="A5" s="4" t="s">
        <v>3</v>
      </c>
    </row>
    <row r="6" spans="1:1">
      <c r="A6" s="4" t="s">
        <v>4</v>
      </c>
    </row>
    <row r="7" spans="1:1">
      <c r="A7" s="4" t="s">
        <v>5</v>
      </c>
    </row>
    <row r="8" spans="1:1">
      <c r="A8" s="4" t="s">
        <v>6</v>
      </c>
    </row>
    <row r="9" spans="1:1">
      <c r="A9" s="4" t="s">
        <v>7</v>
      </c>
    </row>
    <row r="10" spans="1:1">
      <c r="A10" s="4" t="s">
        <v>8</v>
      </c>
    </row>
    <row r="11" spans="1:1">
      <c r="A11" s="4"/>
    </row>
    <row r="12" spans="1:1">
      <c r="A12" s="4" t="s">
        <v>9</v>
      </c>
    </row>
    <row r="13" spans="1:1">
      <c r="A13" s="4" t="s">
        <v>10</v>
      </c>
    </row>
    <row r="14" spans="1:1">
      <c r="A14" s="4" t="s">
        <v>11</v>
      </c>
    </row>
    <row r="15" spans="1:1">
      <c r="A15" s="4" t="s">
        <v>12</v>
      </c>
    </row>
    <row r="16" spans="1:1">
      <c r="A16" s="4"/>
    </row>
    <row r="17" spans="1:3">
      <c r="A17" s="4" t="s">
        <v>13</v>
      </c>
    </row>
    <row r="18" spans="1:3">
      <c r="A18" s="4" t="s">
        <v>14</v>
      </c>
    </row>
    <row r="19" spans="1:3">
      <c r="A19" s="4"/>
    </row>
    <row r="20" spans="1:3">
      <c r="A20" s="4" t="s">
        <v>15</v>
      </c>
    </row>
    <row r="21" spans="1:3">
      <c r="A21" s="4" t="s">
        <v>16</v>
      </c>
    </row>
    <row r="22" spans="1:3">
      <c r="A22" s="4" t="s">
        <v>17</v>
      </c>
    </row>
    <row r="24" spans="1:3">
      <c r="A24" t="s">
        <v>18</v>
      </c>
    </row>
    <row r="25" spans="1:3">
      <c r="A25" t="s">
        <v>19</v>
      </c>
      <c r="B25" t="s">
        <v>20</v>
      </c>
      <c r="C25" t="s">
        <v>21</v>
      </c>
    </row>
    <row r="26" spans="1:3">
      <c r="A26" t="s">
        <v>22</v>
      </c>
      <c r="B26" t="s">
        <v>20</v>
      </c>
      <c r="C26" t="s">
        <v>23</v>
      </c>
    </row>
    <row r="27" spans="1:3">
      <c r="A27" t="s">
        <v>24</v>
      </c>
      <c r="B27" t="s">
        <v>20</v>
      </c>
      <c r="C27" t="s">
        <v>25</v>
      </c>
    </row>
    <row r="28" spans="1:3">
      <c r="A28" t="s">
        <v>26</v>
      </c>
      <c r="B28" t="s">
        <v>20</v>
      </c>
      <c r="C28" t="s">
        <v>27</v>
      </c>
    </row>
    <row r="29" spans="1:3">
      <c r="A29" t="s">
        <v>28</v>
      </c>
      <c r="B29" t="s">
        <v>20</v>
      </c>
      <c r="C29" t="s">
        <v>29</v>
      </c>
    </row>
    <row r="30" spans="1:3">
      <c r="A30" t="s">
        <v>30</v>
      </c>
      <c r="B30" t="s">
        <v>20</v>
      </c>
      <c r="C30" t="s">
        <v>31</v>
      </c>
    </row>
    <row r="31" spans="1:3">
      <c r="A31" t="s">
        <v>32</v>
      </c>
      <c r="B31" t="s">
        <v>20</v>
      </c>
      <c r="C31" t="s">
        <v>33</v>
      </c>
    </row>
    <row r="32" spans="1:3">
      <c r="A32" t="s">
        <v>34</v>
      </c>
      <c r="B32" t="s">
        <v>20</v>
      </c>
      <c r="C32" t="s">
        <v>35</v>
      </c>
    </row>
    <row r="34" spans="1:2">
      <c r="A34" t="s">
        <v>36</v>
      </c>
    </row>
    <row r="35" spans="1:2">
      <c r="A35" s="3" t="s">
        <v>37</v>
      </c>
    </row>
    <row r="36" spans="1:2">
      <c r="A36" s="3"/>
    </row>
    <row r="37" spans="1:2">
      <c r="A37" s="3"/>
    </row>
    <row r="39" spans="1:2">
      <c r="A39" t="s">
        <v>38</v>
      </c>
      <c r="B39" t="s">
        <v>39</v>
      </c>
    </row>
    <row r="40" spans="1:2">
      <c r="A40" t="s">
        <v>40</v>
      </c>
      <c r="B40" t="s">
        <v>41</v>
      </c>
    </row>
    <row r="41" spans="1:2">
      <c r="A41" t="s">
        <v>42</v>
      </c>
      <c r="B41" t="s">
        <v>43</v>
      </c>
    </row>
  </sheetData>
  <pageMargins left="0.7" right="0.7" top="0.75" bottom="0.75" header="0.3" footer="0.3"/>
  <customProperties>
    <customPr name="EpmWorksheetKeyString_GU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24762-D11B-4488-8EBA-DE1F20900AA9}">
  <dimension ref="A1:F204"/>
  <sheetViews>
    <sheetView workbookViewId="0"/>
  </sheetViews>
  <sheetFormatPr defaultRowHeight="15"/>
  <cols>
    <col min="2" max="2" width="13.140625" customWidth="1"/>
  </cols>
  <sheetData>
    <row r="1" spans="1:6">
      <c r="A1" t="s">
        <v>44</v>
      </c>
      <c r="B1" t="s">
        <v>45</v>
      </c>
    </row>
    <row r="2" spans="1:6">
      <c r="A2" t="s">
        <v>44</v>
      </c>
      <c r="B2" t="s">
        <v>46</v>
      </c>
    </row>
    <row r="3" spans="1:6">
      <c r="A3" t="s">
        <v>44</v>
      </c>
      <c r="D3" s="2" t="s">
        <v>47</v>
      </c>
      <c r="E3" t="s">
        <v>48</v>
      </c>
      <c r="F3" t="s">
        <v>49</v>
      </c>
    </row>
    <row r="4" spans="1:6">
      <c r="A4" t="s">
        <v>50</v>
      </c>
      <c r="B4" t="s">
        <v>51</v>
      </c>
      <c r="C4" t="s">
        <v>52</v>
      </c>
      <c r="D4">
        <v>2010</v>
      </c>
      <c r="E4">
        <v>2050</v>
      </c>
      <c r="F4">
        <v>2100</v>
      </c>
    </row>
    <row r="5" spans="1:6">
      <c r="A5">
        <v>4</v>
      </c>
      <c r="B5" t="s">
        <v>53</v>
      </c>
      <c r="C5">
        <v>25</v>
      </c>
      <c r="D5" s="1">
        <v>57.4</v>
      </c>
      <c r="E5" s="1">
        <v>24.037341612581031</v>
      </c>
      <c r="F5" s="1">
        <v>0</v>
      </c>
    </row>
    <row r="6" spans="1:6">
      <c r="A6">
        <v>8</v>
      </c>
      <c r="B6" t="s">
        <v>54</v>
      </c>
      <c r="C6">
        <v>12</v>
      </c>
      <c r="D6" s="1">
        <v>2.3023023023023019</v>
      </c>
      <c r="E6" s="1">
        <v>0</v>
      </c>
      <c r="F6" s="1">
        <v>0</v>
      </c>
    </row>
    <row r="7" spans="1:6">
      <c r="A7">
        <v>12</v>
      </c>
      <c r="B7" t="s">
        <v>55</v>
      </c>
      <c r="C7">
        <v>7</v>
      </c>
      <c r="D7" s="1">
        <v>5</v>
      </c>
      <c r="E7" s="1">
        <v>0</v>
      </c>
      <c r="F7" s="1">
        <v>0</v>
      </c>
    </row>
    <row r="8" spans="1:6">
      <c r="A8">
        <v>16</v>
      </c>
      <c r="B8" t="s">
        <v>56</v>
      </c>
      <c r="C8">
        <v>24</v>
      </c>
      <c r="D8" s="1">
        <v>0.81300759613560247</v>
      </c>
      <c r="E8" s="1">
        <v>0</v>
      </c>
      <c r="F8" s="1">
        <v>0</v>
      </c>
    </row>
    <row r="9" spans="1:6">
      <c r="A9">
        <v>20</v>
      </c>
      <c r="B9" t="s">
        <v>57</v>
      </c>
      <c r="C9">
        <v>11</v>
      </c>
      <c r="D9" s="1">
        <v>0</v>
      </c>
      <c r="E9" s="1">
        <v>0</v>
      </c>
      <c r="F9" s="1">
        <v>0</v>
      </c>
    </row>
    <row r="10" spans="1:6">
      <c r="A10">
        <v>24</v>
      </c>
      <c r="B10" t="s">
        <v>58</v>
      </c>
      <c r="C10">
        <v>26</v>
      </c>
      <c r="D10" s="1">
        <v>42.3</v>
      </c>
      <c r="E10" s="1">
        <v>34.350166428871439</v>
      </c>
      <c r="F10" s="1">
        <v>0</v>
      </c>
    </row>
    <row r="11" spans="1:6">
      <c r="A11">
        <v>31</v>
      </c>
      <c r="B11" t="s">
        <v>59</v>
      </c>
      <c r="C11">
        <v>16</v>
      </c>
      <c r="D11" s="1">
        <v>13.113113113113112</v>
      </c>
      <c r="E11" s="1">
        <v>0</v>
      </c>
      <c r="F11" s="1">
        <v>0</v>
      </c>
    </row>
    <row r="12" spans="1:6">
      <c r="A12">
        <v>32</v>
      </c>
      <c r="B12" t="s">
        <v>60</v>
      </c>
      <c r="C12">
        <v>6</v>
      </c>
      <c r="D12" s="1">
        <v>4.5</v>
      </c>
      <c r="E12" s="1">
        <v>0</v>
      </c>
      <c r="F12" s="1">
        <v>0</v>
      </c>
    </row>
    <row r="13" spans="1:6">
      <c r="A13">
        <v>36</v>
      </c>
      <c r="B13" t="s">
        <v>61</v>
      </c>
      <c r="C13">
        <v>24</v>
      </c>
      <c r="D13" s="1">
        <v>0</v>
      </c>
      <c r="E13" s="1">
        <v>0</v>
      </c>
      <c r="F13" s="1">
        <v>0</v>
      </c>
    </row>
    <row r="14" spans="1:6">
      <c r="A14">
        <v>40</v>
      </c>
      <c r="B14" t="s">
        <v>62</v>
      </c>
      <c r="C14">
        <v>11</v>
      </c>
      <c r="D14" s="1">
        <v>0</v>
      </c>
      <c r="E14" s="1">
        <v>0</v>
      </c>
      <c r="F14" s="1">
        <v>0</v>
      </c>
    </row>
    <row r="15" spans="1:6">
      <c r="A15">
        <v>44</v>
      </c>
      <c r="B15" t="s">
        <v>63</v>
      </c>
      <c r="C15">
        <v>4</v>
      </c>
      <c r="D15" s="1">
        <v>3.5</v>
      </c>
      <c r="E15" s="1">
        <v>0</v>
      </c>
      <c r="F15" s="1">
        <v>0</v>
      </c>
    </row>
    <row r="16" spans="1:6">
      <c r="A16">
        <v>48</v>
      </c>
      <c r="B16" t="s">
        <v>64</v>
      </c>
      <c r="C16">
        <v>17</v>
      </c>
      <c r="D16" s="1">
        <v>0</v>
      </c>
      <c r="E16" s="1">
        <v>0</v>
      </c>
      <c r="F16" s="1">
        <v>0</v>
      </c>
    </row>
    <row r="17" spans="1:6">
      <c r="A17">
        <v>50</v>
      </c>
      <c r="B17" t="s">
        <v>65</v>
      </c>
      <c r="C17">
        <v>25</v>
      </c>
      <c r="D17" s="1">
        <v>42.29999999999999</v>
      </c>
      <c r="E17" s="1">
        <v>8.8296374008458685</v>
      </c>
      <c r="F17" s="1">
        <v>0</v>
      </c>
    </row>
    <row r="18" spans="1:6">
      <c r="A18">
        <v>51</v>
      </c>
      <c r="B18" t="s">
        <v>66</v>
      </c>
      <c r="C18">
        <v>16</v>
      </c>
      <c r="D18" s="1">
        <v>7</v>
      </c>
      <c r="E18" s="1">
        <v>0</v>
      </c>
      <c r="F18" s="1">
        <v>0</v>
      </c>
    </row>
    <row r="19" spans="1:6">
      <c r="A19">
        <v>52</v>
      </c>
      <c r="B19" t="s">
        <v>67</v>
      </c>
      <c r="C19">
        <v>4</v>
      </c>
      <c r="D19" s="1">
        <v>4.3000000000000007</v>
      </c>
      <c r="E19" s="1">
        <v>0</v>
      </c>
      <c r="F19" s="1">
        <v>0</v>
      </c>
    </row>
    <row r="20" spans="1:6">
      <c r="A20">
        <v>56</v>
      </c>
      <c r="B20" t="s">
        <v>68</v>
      </c>
      <c r="C20">
        <v>11</v>
      </c>
      <c r="D20" s="1">
        <v>0</v>
      </c>
      <c r="E20" s="1">
        <v>0</v>
      </c>
      <c r="F20" s="1">
        <v>0</v>
      </c>
    </row>
    <row r="21" spans="1:6">
      <c r="A21">
        <v>64</v>
      </c>
      <c r="B21" t="s">
        <v>69</v>
      </c>
      <c r="C21">
        <v>25</v>
      </c>
      <c r="D21" s="1">
        <v>30.099999999999998</v>
      </c>
      <c r="E21" s="1">
        <v>0</v>
      </c>
      <c r="F21" s="1">
        <v>0</v>
      </c>
    </row>
    <row r="22" spans="1:6">
      <c r="A22">
        <v>68</v>
      </c>
      <c r="B22" t="s">
        <v>70</v>
      </c>
      <c r="C22">
        <v>6</v>
      </c>
      <c r="D22" s="1">
        <v>32.567432567432569</v>
      </c>
      <c r="E22" s="1">
        <v>4.9461245283748383</v>
      </c>
      <c r="F22" s="1">
        <v>0</v>
      </c>
    </row>
    <row r="23" spans="1:6">
      <c r="A23">
        <v>70</v>
      </c>
      <c r="B23" t="s">
        <v>71</v>
      </c>
      <c r="C23">
        <v>12</v>
      </c>
      <c r="D23" s="1">
        <v>2.2000000000000002</v>
      </c>
      <c r="E23" s="1">
        <v>0</v>
      </c>
      <c r="F23" s="1">
        <v>0</v>
      </c>
    </row>
    <row r="24" spans="1:6">
      <c r="A24">
        <v>72</v>
      </c>
      <c r="B24" t="s">
        <v>72</v>
      </c>
      <c r="C24">
        <v>26</v>
      </c>
      <c r="D24" s="1">
        <v>26.4</v>
      </c>
      <c r="E24" s="1">
        <v>15.820173122217241</v>
      </c>
      <c r="F24" s="1">
        <v>7.9931950209801954</v>
      </c>
    </row>
    <row r="25" spans="1:6">
      <c r="A25">
        <v>76</v>
      </c>
      <c r="B25" t="s">
        <v>73</v>
      </c>
      <c r="C25">
        <v>5</v>
      </c>
      <c r="D25" s="1">
        <v>17.2</v>
      </c>
      <c r="E25" s="1">
        <v>3.9413451590038733</v>
      </c>
      <c r="F25" s="1">
        <v>0</v>
      </c>
    </row>
    <row r="26" spans="1:6">
      <c r="A26">
        <v>84</v>
      </c>
      <c r="B26" t="s">
        <v>74</v>
      </c>
      <c r="C26">
        <v>4</v>
      </c>
      <c r="D26" s="1">
        <v>5.6</v>
      </c>
      <c r="E26" s="1">
        <v>0</v>
      </c>
      <c r="F26" s="1">
        <v>0</v>
      </c>
    </row>
    <row r="27" spans="1:6">
      <c r="A27">
        <v>90</v>
      </c>
      <c r="B27" t="s">
        <v>75</v>
      </c>
      <c r="C27">
        <v>24</v>
      </c>
      <c r="D27" s="1">
        <v>0.81300759613560247</v>
      </c>
      <c r="E27" s="1">
        <v>0</v>
      </c>
      <c r="F27" s="1">
        <v>0</v>
      </c>
    </row>
    <row r="28" spans="1:6">
      <c r="A28">
        <v>96</v>
      </c>
      <c r="B28" t="s">
        <v>76</v>
      </c>
      <c r="C28">
        <v>21</v>
      </c>
      <c r="D28" s="1">
        <v>3.7</v>
      </c>
      <c r="E28" s="1">
        <v>0</v>
      </c>
      <c r="F28" s="1">
        <v>0</v>
      </c>
    </row>
    <row r="29" spans="1:6">
      <c r="A29">
        <v>100</v>
      </c>
      <c r="B29" t="s">
        <v>77</v>
      </c>
      <c r="C29">
        <v>12</v>
      </c>
      <c r="D29" s="1">
        <v>0</v>
      </c>
      <c r="E29" s="1">
        <v>0</v>
      </c>
      <c r="F29" s="1">
        <v>0</v>
      </c>
    </row>
    <row r="30" spans="1:6">
      <c r="A30">
        <v>104</v>
      </c>
      <c r="B30" t="s">
        <v>78</v>
      </c>
      <c r="C30">
        <v>21</v>
      </c>
      <c r="D30" s="1">
        <v>23.276723276723278</v>
      </c>
      <c r="E30" s="1">
        <v>8.2829456681767084</v>
      </c>
      <c r="F30" s="1">
        <v>0</v>
      </c>
    </row>
    <row r="31" spans="1:6">
      <c r="A31">
        <v>108</v>
      </c>
      <c r="B31" t="s">
        <v>79</v>
      </c>
      <c r="C31">
        <v>9</v>
      </c>
      <c r="D31" s="1">
        <v>45.300000000000011</v>
      </c>
      <c r="E31" s="1">
        <v>14.432924934556894</v>
      </c>
      <c r="F31" s="1">
        <v>0</v>
      </c>
    </row>
    <row r="32" spans="1:6">
      <c r="A32">
        <v>112</v>
      </c>
      <c r="B32" t="s">
        <v>80</v>
      </c>
      <c r="C32">
        <v>14</v>
      </c>
      <c r="D32" s="1">
        <v>0.7</v>
      </c>
      <c r="E32" s="1">
        <v>0</v>
      </c>
      <c r="F32" s="1">
        <v>0</v>
      </c>
    </row>
    <row r="33" spans="1:6">
      <c r="A33">
        <v>116</v>
      </c>
      <c r="B33" t="s">
        <v>81</v>
      </c>
      <c r="C33">
        <v>21</v>
      </c>
      <c r="D33" s="1">
        <v>56.7</v>
      </c>
      <c r="E33" s="1">
        <v>4.6204796568258644</v>
      </c>
      <c r="F33" s="1">
        <v>0</v>
      </c>
    </row>
    <row r="34" spans="1:6">
      <c r="A34">
        <v>120</v>
      </c>
      <c r="B34" t="s">
        <v>82</v>
      </c>
      <c r="C34">
        <v>8</v>
      </c>
      <c r="D34" s="1">
        <v>42.6</v>
      </c>
      <c r="E34" s="1">
        <v>24.819436220192244</v>
      </c>
      <c r="F34" s="1">
        <v>0</v>
      </c>
    </row>
    <row r="35" spans="1:6">
      <c r="A35">
        <v>124</v>
      </c>
      <c r="B35" t="s">
        <v>83</v>
      </c>
      <c r="C35">
        <v>1</v>
      </c>
      <c r="D35" s="1">
        <v>0.40040040040040037</v>
      </c>
      <c r="E35" s="1">
        <v>0</v>
      </c>
      <c r="F35" s="1">
        <v>0</v>
      </c>
    </row>
    <row r="36" spans="1:6">
      <c r="A36">
        <v>132</v>
      </c>
      <c r="B36" t="s">
        <v>84</v>
      </c>
      <c r="C36">
        <v>8</v>
      </c>
      <c r="D36" s="1">
        <v>34.099999999999994</v>
      </c>
      <c r="E36" s="1">
        <v>12.999690844876334</v>
      </c>
      <c r="F36" s="1">
        <v>0</v>
      </c>
    </row>
    <row r="37" spans="1:6">
      <c r="A37">
        <v>140</v>
      </c>
      <c r="B37" t="s">
        <v>85</v>
      </c>
      <c r="C37">
        <v>8</v>
      </c>
      <c r="D37" s="1">
        <v>63.4</v>
      </c>
      <c r="E37" s="1">
        <v>39.498267219740924</v>
      </c>
      <c r="F37" s="1">
        <v>6.0595644689940684</v>
      </c>
    </row>
    <row r="38" spans="1:6">
      <c r="A38">
        <v>144</v>
      </c>
      <c r="B38" t="s">
        <v>86</v>
      </c>
      <c r="C38">
        <v>25</v>
      </c>
      <c r="D38" s="1">
        <v>5.6943056943056947</v>
      </c>
      <c r="E38" s="1">
        <v>0</v>
      </c>
      <c r="F38" s="1">
        <v>0</v>
      </c>
    </row>
    <row r="39" spans="1:6">
      <c r="A39">
        <v>148</v>
      </c>
      <c r="B39" t="s">
        <v>87</v>
      </c>
      <c r="C39">
        <v>8</v>
      </c>
      <c r="D39" s="1">
        <v>85.200000000000017</v>
      </c>
      <c r="E39" s="1">
        <v>66.557556355892501</v>
      </c>
      <c r="F39" s="1">
        <v>20.438816418424864</v>
      </c>
    </row>
    <row r="40" spans="1:6">
      <c r="A40">
        <v>152</v>
      </c>
      <c r="B40" t="s">
        <v>88</v>
      </c>
      <c r="C40">
        <v>6</v>
      </c>
      <c r="D40" s="1">
        <v>2.7</v>
      </c>
      <c r="E40" s="1">
        <v>0</v>
      </c>
      <c r="F40" s="1">
        <v>0</v>
      </c>
    </row>
    <row r="41" spans="1:6">
      <c r="A41">
        <v>156</v>
      </c>
      <c r="B41" t="s">
        <v>89</v>
      </c>
      <c r="C41">
        <v>20</v>
      </c>
      <c r="D41" s="1">
        <v>21.400000000000002</v>
      </c>
      <c r="E41" s="1">
        <v>0</v>
      </c>
      <c r="F41" s="1">
        <v>0</v>
      </c>
    </row>
    <row r="42" spans="1:6">
      <c r="A42">
        <v>158</v>
      </c>
      <c r="B42" t="s">
        <v>90</v>
      </c>
      <c r="C42">
        <v>20</v>
      </c>
      <c r="D42" s="1">
        <v>21.388581528436244</v>
      </c>
      <c r="E42" s="1">
        <v>0</v>
      </c>
      <c r="F42" s="1">
        <v>0</v>
      </c>
    </row>
    <row r="43" spans="1:6">
      <c r="A43">
        <v>170</v>
      </c>
      <c r="B43" t="s">
        <v>91</v>
      </c>
      <c r="C43">
        <v>6</v>
      </c>
      <c r="D43" s="1">
        <v>9.1091091091091094</v>
      </c>
      <c r="E43" s="1">
        <v>0</v>
      </c>
      <c r="F43" s="1">
        <v>0</v>
      </c>
    </row>
    <row r="44" spans="1:6">
      <c r="A44">
        <v>174</v>
      </c>
      <c r="B44" t="s">
        <v>92</v>
      </c>
      <c r="C44">
        <v>9</v>
      </c>
      <c r="D44" s="1">
        <v>57.499999999999993</v>
      </c>
      <c r="E44" s="1">
        <v>25.712674659800541</v>
      </c>
      <c r="F44" s="1">
        <v>0</v>
      </c>
    </row>
    <row r="45" spans="1:6">
      <c r="A45">
        <v>178</v>
      </c>
      <c r="B45" t="s">
        <v>93</v>
      </c>
      <c r="C45">
        <v>8</v>
      </c>
      <c r="D45" s="1">
        <v>54.354354354354349</v>
      </c>
      <c r="E45" s="1">
        <v>23.443370184175933</v>
      </c>
      <c r="F45" s="1">
        <v>0</v>
      </c>
    </row>
    <row r="46" spans="1:6">
      <c r="A46">
        <v>180</v>
      </c>
      <c r="B46" t="s">
        <v>94</v>
      </c>
      <c r="C46">
        <v>8</v>
      </c>
      <c r="D46" s="1">
        <v>58.04195804195804</v>
      </c>
      <c r="E46" s="1">
        <v>23.492741808590338</v>
      </c>
      <c r="F46" s="1">
        <v>0</v>
      </c>
    </row>
    <row r="47" spans="1:6">
      <c r="A47">
        <v>188</v>
      </c>
      <c r="B47" t="s">
        <v>95</v>
      </c>
      <c r="C47">
        <v>4</v>
      </c>
      <c r="D47" s="1">
        <v>2.697302697302697</v>
      </c>
      <c r="E47" s="1">
        <v>0</v>
      </c>
      <c r="F47" s="1">
        <v>0</v>
      </c>
    </row>
    <row r="48" spans="1:6">
      <c r="A48">
        <v>191</v>
      </c>
      <c r="B48" t="s">
        <v>96</v>
      </c>
      <c r="C48">
        <v>12</v>
      </c>
      <c r="D48" s="1">
        <v>1.4940239043824701</v>
      </c>
      <c r="E48" s="1">
        <v>0</v>
      </c>
      <c r="F48" s="1">
        <v>0</v>
      </c>
    </row>
    <row r="49" spans="1:6">
      <c r="A49">
        <v>192</v>
      </c>
      <c r="B49" t="s">
        <v>97</v>
      </c>
      <c r="C49">
        <v>4</v>
      </c>
      <c r="D49" s="1">
        <v>4.8</v>
      </c>
      <c r="E49" s="1">
        <v>0</v>
      </c>
      <c r="F49" s="1">
        <v>0</v>
      </c>
    </row>
    <row r="50" spans="1:6">
      <c r="A50">
        <v>196</v>
      </c>
      <c r="B50" t="s">
        <v>98</v>
      </c>
      <c r="C50">
        <v>12</v>
      </c>
      <c r="D50" s="1">
        <v>5.9179991924643636</v>
      </c>
      <c r="E50" s="1">
        <v>0</v>
      </c>
      <c r="F50" s="1">
        <v>0</v>
      </c>
    </row>
    <row r="51" spans="1:6">
      <c r="A51">
        <v>203</v>
      </c>
      <c r="B51" t="s">
        <v>99</v>
      </c>
      <c r="C51">
        <v>12</v>
      </c>
      <c r="D51" s="1">
        <v>0</v>
      </c>
      <c r="E51" s="1">
        <v>0</v>
      </c>
      <c r="F51" s="1">
        <v>0</v>
      </c>
    </row>
    <row r="52" spans="1:6">
      <c r="A52">
        <v>204</v>
      </c>
      <c r="B52" t="s">
        <v>100</v>
      </c>
      <c r="C52">
        <v>8</v>
      </c>
      <c r="D52" s="1">
        <v>68.599999999999994</v>
      </c>
      <c r="E52" s="1">
        <v>45.558802492783911</v>
      </c>
      <c r="F52" s="1">
        <v>11.593331926757571</v>
      </c>
    </row>
    <row r="53" spans="1:6">
      <c r="A53">
        <v>208</v>
      </c>
      <c r="B53" t="s">
        <v>101</v>
      </c>
      <c r="C53">
        <v>11</v>
      </c>
      <c r="D53" s="1">
        <v>0</v>
      </c>
      <c r="E53" s="1">
        <v>0</v>
      </c>
      <c r="F53" s="1">
        <v>0</v>
      </c>
    </row>
    <row r="54" spans="1:6">
      <c r="A54">
        <v>212</v>
      </c>
      <c r="B54" t="s">
        <v>102</v>
      </c>
      <c r="C54">
        <v>4</v>
      </c>
      <c r="D54" s="1">
        <v>20.399999999999999</v>
      </c>
      <c r="E54" s="1">
        <v>0</v>
      </c>
      <c r="F54" s="1">
        <v>0</v>
      </c>
    </row>
    <row r="55" spans="1:6">
      <c r="A55">
        <v>214</v>
      </c>
      <c r="B55" t="s">
        <v>103</v>
      </c>
      <c r="C55">
        <v>4</v>
      </c>
      <c r="D55" s="1">
        <v>6.4</v>
      </c>
      <c r="E55" s="1">
        <v>0</v>
      </c>
      <c r="F55" s="1">
        <v>0</v>
      </c>
    </row>
    <row r="56" spans="1:6">
      <c r="A56">
        <v>218</v>
      </c>
      <c r="B56" t="s">
        <v>104</v>
      </c>
      <c r="C56">
        <v>6</v>
      </c>
      <c r="D56" s="1">
        <v>10</v>
      </c>
      <c r="E56" s="1">
        <v>0</v>
      </c>
      <c r="F56" s="1">
        <v>0</v>
      </c>
    </row>
    <row r="57" spans="1:6">
      <c r="A57">
        <v>222</v>
      </c>
      <c r="B57" t="s">
        <v>105</v>
      </c>
      <c r="C57">
        <v>4</v>
      </c>
      <c r="D57" s="1">
        <v>5.8941058941058948</v>
      </c>
      <c r="E57" s="1">
        <v>0</v>
      </c>
      <c r="F57" s="1">
        <v>0</v>
      </c>
    </row>
    <row r="58" spans="1:6">
      <c r="A58">
        <v>226</v>
      </c>
      <c r="B58" t="s">
        <v>106</v>
      </c>
      <c r="C58">
        <v>8</v>
      </c>
      <c r="D58" s="1">
        <v>26.800000000000004</v>
      </c>
      <c r="E58" s="1">
        <v>24.765405831837434</v>
      </c>
      <c r="F58" s="1">
        <v>15.625763315483326</v>
      </c>
    </row>
    <row r="59" spans="1:6">
      <c r="A59">
        <v>231</v>
      </c>
      <c r="B59" t="s">
        <v>107</v>
      </c>
      <c r="C59">
        <v>9</v>
      </c>
      <c r="D59" s="1">
        <v>88.799999999999983</v>
      </c>
      <c r="E59" s="1">
        <v>56.842444139949144</v>
      </c>
      <c r="F59" s="1">
        <v>0</v>
      </c>
    </row>
    <row r="60" spans="1:6">
      <c r="A60">
        <v>232</v>
      </c>
      <c r="B60" t="s">
        <v>108</v>
      </c>
      <c r="C60">
        <v>9</v>
      </c>
      <c r="D60" s="1">
        <v>79.600000000000023</v>
      </c>
      <c r="E60" s="1">
        <v>53.837000984426645</v>
      </c>
      <c r="F60" s="1">
        <v>6.7303597766762948</v>
      </c>
    </row>
    <row r="61" spans="1:6">
      <c r="A61">
        <v>233</v>
      </c>
      <c r="B61" t="s">
        <v>109</v>
      </c>
      <c r="C61">
        <v>12</v>
      </c>
      <c r="D61" s="1">
        <v>0.2</v>
      </c>
      <c r="E61" s="1">
        <v>0</v>
      </c>
      <c r="F61" s="1">
        <v>0</v>
      </c>
    </row>
    <row r="62" spans="1:6">
      <c r="A62">
        <v>234</v>
      </c>
      <c r="B62" t="s">
        <v>110</v>
      </c>
      <c r="C62">
        <v>11</v>
      </c>
      <c r="D62" s="1">
        <v>0.25537202136774656</v>
      </c>
      <c r="E62" s="1">
        <v>0</v>
      </c>
      <c r="F62" s="1">
        <v>0</v>
      </c>
    </row>
    <row r="63" spans="1:6">
      <c r="A63">
        <v>238</v>
      </c>
      <c r="B63" t="s">
        <v>111</v>
      </c>
      <c r="C63">
        <v>6</v>
      </c>
      <c r="D63" s="1">
        <v>10.084777053920032</v>
      </c>
      <c r="E63" s="1">
        <v>0</v>
      </c>
      <c r="F63" s="1">
        <v>0</v>
      </c>
    </row>
    <row r="64" spans="1:6">
      <c r="A64">
        <v>242</v>
      </c>
      <c r="B64" t="s">
        <v>112</v>
      </c>
      <c r="C64">
        <v>24</v>
      </c>
      <c r="D64" s="1">
        <v>5.9247284187572031</v>
      </c>
      <c r="E64" s="1">
        <v>0</v>
      </c>
      <c r="F64" s="1">
        <v>0</v>
      </c>
    </row>
    <row r="65" spans="1:6">
      <c r="A65">
        <v>246</v>
      </c>
      <c r="B65" t="s">
        <v>113</v>
      </c>
      <c r="C65">
        <v>11</v>
      </c>
      <c r="D65" s="1">
        <v>0</v>
      </c>
      <c r="E65" s="1">
        <v>0</v>
      </c>
      <c r="F65" s="1">
        <v>0</v>
      </c>
    </row>
    <row r="66" spans="1:6">
      <c r="A66">
        <v>250</v>
      </c>
      <c r="B66" t="s">
        <v>114</v>
      </c>
      <c r="C66">
        <v>11</v>
      </c>
      <c r="D66" s="1">
        <v>0</v>
      </c>
      <c r="E66" s="1">
        <v>0</v>
      </c>
      <c r="F66" s="1">
        <v>0</v>
      </c>
    </row>
    <row r="67" spans="1:6">
      <c r="A67">
        <v>254</v>
      </c>
      <c r="B67" t="s">
        <v>115</v>
      </c>
      <c r="C67">
        <v>6</v>
      </c>
      <c r="D67" s="1">
        <v>8</v>
      </c>
      <c r="E67" s="1">
        <v>0</v>
      </c>
      <c r="F67" s="1">
        <v>0</v>
      </c>
    </row>
    <row r="68" spans="1:6">
      <c r="A68">
        <v>262</v>
      </c>
      <c r="B68" t="s">
        <v>116</v>
      </c>
      <c r="C68">
        <v>9</v>
      </c>
      <c r="D68" s="1">
        <v>68.810664743318654</v>
      </c>
      <c r="E68" s="1">
        <v>41.108123306620065</v>
      </c>
      <c r="F68" s="1">
        <v>6.408162372484469</v>
      </c>
    </row>
    <row r="69" spans="1:6">
      <c r="A69">
        <v>266</v>
      </c>
      <c r="B69" t="s">
        <v>117</v>
      </c>
      <c r="C69">
        <v>8</v>
      </c>
      <c r="D69" s="1">
        <v>26.973026973026975</v>
      </c>
      <c r="E69" s="1">
        <v>22.348621395575861</v>
      </c>
      <c r="F69" s="1">
        <v>10.745337689225181</v>
      </c>
    </row>
    <row r="70" spans="1:6">
      <c r="A70">
        <v>268</v>
      </c>
      <c r="B70" t="s">
        <v>118</v>
      </c>
      <c r="C70">
        <v>16</v>
      </c>
      <c r="D70" s="1">
        <v>6.2</v>
      </c>
      <c r="E70" s="1">
        <v>0</v>
      </c>
      <c r="F70" s="1">
        <v>0</v>
      </c>
    </row>
    <row r="71" spans="1:6">
      <c r="A71">
        <v>270</v>
      </c>
      <c r="B71" t="s">
        <v>119</v>
      </c>
      <c r="C71">
        <v>8</v>
      </c>
      <c r="D71" s="1">
        <v>27.372627372627374</v>
      </c>
      <c r="E71" s="1">
        <v>15.850586820022855</v>
      </c>
      <c r="F71" s="1">
        <v>0</v>
      </c>
    </row>
    <row r="72" spans="1:6">
      <c r="A72">
        <v>276</v>
      </c>
      <c r="B72" t="s">
        <v>120</v>
      </c>
      <c r="C72">
        <v>11</v>
      </c>
      <c r="D72" s="1">
        <v>0</v>
      </c>
      <c r="E72" s="1">
        <v>0</v>
      </c>
      <c r="F72" s="1">
        <v>0</v>
      </c>
    </row>
    <row r="73" spans="1:6">
      <c r="A73">
        <v>288</v>
      </c>
      <c r="B73" t="s">
        <v>121</v>
      </c>
      <c r="C73">
        <v>8</v>
      </c>
      <c r="D73" s="1">
        <v>35.535535535535537</v>
      </c>
      <c r="E73" s="1">
        <v>11.837945670344624</v>
      </c>
      <c r="F73" s="1">
        <v>0</v>
      </c>
    </row>
    <row r="74" spans="1:6">
      <c r="A74">
        <v>300</v>
      </c>
      <c r="B74" t="s">
        <v>122</v>
      </c>
      <c r="C74">
        <v>11</v>
      </c>
      <c r="D74" s="1">
        <v>0.5</v>
      </c>
      <c r="E74" s="1">
        <v>0</v>
      </c>
      <c r="F74" s="1">
        <v>0</v>
      </c>
    </row>
    <row r="75" spans="1:6">
      <c r="A75">
        <v>304</v>
      </c>
      <c r="B75" t="s">
        <v>123</v>
      </c>
      <c r="C75">
        <v>27</v>
      </c>
      <c r="D75" s="1">
        <v>0</v>
      </c>
      <c r="E75" s="1">
        <v>0</v>
      </c>
      <c r="F75" s="1">
        <v>0</v>
      </c>
    </row>
    <row r="76" spans="1:6">
      <c r="A76">
        <v>308</v>
      </c>
      <c r="B76" t="s">
        <v>124</v>
      </c>
      <c r="C76">
        <v>4</v>
      </c>
      <c r="D76" s="1">
        <v>5.2947052947052953</v>
      </c>
      <c r="E76" s="1">
        <v>0</v>
      </c>
      <c r="F76" s="1">
        <v>0</v>
      </c>
    </row>
    <row r="77" spans="1:6">
      <c r="A77">
        <v>312</v>
      </c>
      <c r="B77" t="s">
        <v>125</v>
      </c>
      <c r="C77">
        <v>4</v>
      </c>
      <c r="D77" s="1">
        <v>2.1021021021021018</v>
      </c>
      <c r="E77" s="1">
        <v>0</v>
      </c>
      <c r="F77" s="1">
        <v>0</v>
      </c>
    </row>
    <row r="78" spans="1:6">
      <c r="A78">
        <v>320</v>
      </c>
      <c r="B78" t="s">
        <v>126</v>
      </c>
      <c r="C78">
        <v>4</v>
      </c>
      <c r="D78" s="1">
        <v>27.200000000000003</v>
      </c>
      <c r="E78" s="1">
        <v>0.71226605066729576</v>
      </c>
      <c r="F78" s="1">
        <v>0</v>
      </c>
    </row>
    <row r="79" spans="1:6">
      <c r="A79">
        <v>324</v>
      </c>
      <c r="B79" t="s">
        <v>127</v>
      </c>
      <c r="C79">
        <v>8</v>
      </c>
      <c r="D79" s="1">
        <v>60.300000000000004</v>
      </c>
      <c r="E79" s="1">
        <v>18.471182508514772</v>
      </c>
      <c r="F79" s="1">
        <v>0</v>
      </c>
    </row>
    <row r="80" spans="1:6">
      <c r="A80">
        <v>328</v>
      </c>
      <c r="B80" t="s">
        <v>128</v>
      </c>
      <c r="C80">
        <v>6</v>
      </c>
      <c r="D80" s="1">
        <v>7.5924075924075929</v>
      </c>
      <c r="E80" s="1">
        <v>0</v>
      </c>
      <c r="F80" s="1">
        <v>0</v>
      </c>
    </row>
    <row r="81" spans="1:6">
      <c r="A81">
        <v>332</v>
      </c>
      <c r="B81" t="s">
        <v>129</v>
      </c>
      <c r="C81">
        <v>4</v>
      </c>
      <c r="D81" s="1">
        <v>49.249249249249246</v>
      </c>
      <c r="E81" s="1">
        <v>10.520526452835156</v>
      </c>
      <c r="F81" s="1">
        <v>0</v>
      </c>
    </row>
    <row r="82" spans="1:6">
      <c r="A82">
        <v>340</v>
      </c>
      <c r="B82" t="s">
        <v>130</v>
      </c>
      <c r="C82">
        <v>4</v>
      </c>
      <c r="D82" s="1">
        <v>18</v>
      </c>
      <c r="E82" s="1">
        <v>0</v>
      </c>
      <c r="F82" s="1">
        <v>0</v>
      </c>
    </row>
    <row r="83" spans="1:6">
      <c r="A83">
        <v>344</v>
      </c>
      <c r="B83" t="s">
        <v>131</v>
      </c>
      <c r="C83">
        <v>20</v>
      </c>
      <c r="D83" s="1">
        <v>0</v>
      </c>
      <c r="E83" s="1">
        <v>0</v>
      </c>
      <c r="F83" s="1">
        <v>0</v>
      </c>
    </row>
    <row r="84" spans="1:6">
      <c r="A84">
        <v>348</v>
      </c>
      <c r="B84" t="s">
        <v>132</v>
      </c>
      <c r="C84">
        <v>12</v>
      </c>
      <c r="D84" s="1">
        <v>0</v>
      </c>
      <c r="E84" s="1">
        <v>0</v>
      </c>
      <c r="F84" s="1">
        <v>0</v>
      </c>
    </row>
    <row r="85" spans="1:6">
      <c r="A85">
        <v>352</v>
      </c>
      <c r="B85" t="s">
        <v>133</v>
      </c>
      <c r="C85">
        <v>11</v>
      </c>
      <c r="D85" s="1">
        <v>0</v>
      </c>
      <c r="E85" s="1">
        <v>0</v>
      </c>
      <c r="F85" s="1">
        <v>0</v>
      </c>
    </row>
    <row r="86" spans="1:6">
      <c r="A86">
        <v>356</v>
      </c>
      <c r="B86" t="s">
        <v>134</v>
      </c>
      <c r="C86">
        <v>18</v>
      </c>
      <c r="D86" s="1">
        <v>48.5</v>
      </c>
      <c r="E86" s="1">
        <v>8.8606988996316147</v>
      </c>
      <c r="F86" s="1">
        <v>0</v>
      </c>
    </row>
    <row r="87" spans="1:6">
      <c r="A87">
        <v>360</v>
      </c>
      <c r="B87" t="s">
        <v>135</v>
      </c>
      <c r="C87">
        <v>22</v>
      </c>
      <c r="D87" s="1">
        <v>26.526526526526524</v>
      </c>
      <c r="E87" s="1">
        <v>0</v>
      </c>
      <c r="F87" s="1">
        <v>0</v>
      </c>
    </row>
    <row r="88" spans="1:6">
      <c r="A88">
        <v>364</v>
      </c>
      <c r="B88" t="s">
        <v>136</v>
      </c>
      <c r="C88">
        <v>17</v>
      </c>
      <c r="D88" s="1">
        <v>2</v>
      </c>
      <c r="E88" s="1">
        <v>0</v>
      </c>
      <c r="F88" s="1">
        <v>0</v>
      </c>
    </row>
    <row r="89" spans="1:6">
      <c r="A89">
        <v>368</v>
      </c>
      <c r="B89" t="s">
        <v>137</v>
      </c>
      <c r="C89">
        <v>17</v>
      </c>
      <c r="D89" s="1">
        <v>8.6086086086086073</v>
      </c>
      <c r="E89" s="1">
        <v>0</v>
      </c>
      <c r="F89" s="1">
        <v>0</v>
      </c>
    </row>
    <row r="90" spans="1:6">
      <c r="A90">
        <v>372</v>
      </c>
      <c r="B90" t="s">
        <v>138</v>
      </c>
      <c r="C90">
        <v>11</v>
      </c>
      <c r="D90" s="1">
        <v>2.6026026026026026</v>
      </c>
      <c r="E90" s="1">
        <v>0</v>
      </c>
      <c r="F90" s="1">
        <v>0</v>
      </c>
    </row>
    <row r="91" spans="1:6">
      <c r="A91">
        <v>376</v>
      </c>
      <c r="B91" t="s">
        <v>139</v>
      </c>
      <c r="C91">
        <v>17</v>
      </c>
      <c r="D91" s="1">
        <v>0</v>
      </c>
      <c r="E91" s="1">
        <v>0</v>
      </c>
      <c r="F91" s="1">
        <v>0</v>
      </c>
    </row>
    <row r="92" spans="1:6">
      <c r="A92">
        <v>380</v>
      </c>
      <c r="B92" t="s">
        <v>140</v>
      </c>
      <c r="C92">
        <v>11</v>
      </c>
      <c r="D92" s="1">
        <v>1.1011011011011014</v>
      </c>
      <c r="E92" s="1">
        <v>0</v>
      </c>
      <c r="F92" s="1">
        <v>0</v>
      </c>
    </row>
    <row r="93" spans="1:6">
      <c r="A93">
        <v>384</v>
      </c>
      <c r="B93" t="s">
        <v>141</v>
      </c>
      <c r="C93">
        <v>8</v>
      </c>
      <c r="D93" s="1">
        <v>51.3</v>
      </c>
      <c r="E93" s="1">
        <v>18.863985111269628</v>
      </c>
      <c r="F93" s="1">
        <v>0</v>
      </c>
    </row>
    <row r="94" spans="1:6">
      <c r="A94">
        <v>388</v>
      </c>
      <c r="B94" t="s">
        <v>142</v>
      </c>
      <c r="C94">
        <v>4</v>
      </c>
      <c r="D94" s="1">
        <v>1.8</v>
      </c>
      <c r="E94" s="1">
        <v>0</v>
      </c>
      <c r="F94" s="1">
        <v>0</v>
      </c>
    </row>
    <row r="95" spans="1:6">
      <c r="A95">
        <v>392</v>
      </c>
      <c r="B95" t="s">
        <v>143</v>
      </c>
      <c r="C95">
        <v>23</v>
      </c>
      <c r="D95" s="1">
        <v>9.9900099900099903E-2</v>
      </c>
      <c r="E95" s="1">
        <v>0</v>
      </c>
      <c r="F95" s="1">
        <v>0</v>
      </c>
    </row>
    <row r="96" spans="1:6">
      <c r="A96">
        <v>398</v>
      </c>
      <c r="B96" t="s">
        <v>144</v>
      </c>
      <c r="C96">
        <v>15</v>
      </c>
      <c r="D96" s="1">
        <v>0.5</v>
      </c>
      <c r="E96" s="1">
        <v>0</v>
      </c>
      <c r="F96" s="1">
        <v>0</v>
      </c>
    </row>
    <row r="97" spans="1:6">
      <c r="A97">
        <v>400</v>
      </c>
      <c r="B97" t="s">
        <v>145</v>
      </c>
      <c r="C97">
        <v>17</v>
      </c>
      <c r="D97" s="1">
        <v>1</v>
      </c>
      <c r="E97" s="1">
        <v>0</v>
      </c>
      <c r="F97" s="1">
        <v>0</v>
      </c>
    </row>
    <row r="98" spans="1:6">
      <c r="A98">
        <v>404</v>
      </c>
      <c r="B98" t="s">
        <v>146</v>
      </c>
      <c r="C98">
        <v>9</v>
      </c>
      <c r="D98" s="1">
        <v>48.851148851148849</v>
      </c>
      <c r="E98" s="1">
        <v>25.750709351019992</v>
      </c>
      <c r="F98" s="1">
        <v>0</v>
      </c>
    </row>
    <row r="99" spans="1:6">
      <c r="A99">
        <v>408</v>
      </c>
      <c r="B99" t="s">
        <v>147</v>
      </c>
      <c r="C99">
        <v>19</v>
      </c>
      <c r="D99" s="1">
        <v>18.081918081918086</v>
      </c>
      <c r="E99" s="1">
        <v>4.0312442175516452</v>
      </c>
      <c r="F99" s="1">
        <v>0</v>
      </c>
    </row>
    <row r="100" spans="1:6">
      <c r="A100">
        <v>410</v>
      </c>
      <c r="B100" t="s">
        <v>148</v>
      </c>
      <c r="C100">
        <v>19</v>
      </c>
      <c r="D100" s="1">
        <v>0</v>
      </c>
      <c r="E100" s="1">
        <v>0</v>
      </c>
      <c r="F100" s="1">
        <v>0</v>
      </c>
    </row>
    <row r="101" spans="1:6">
      <c r="A101">
        <v>414</v>
      </c>
      <c r="B101" t="s">
        <v>149</v>
      </c>
      <c r="C101">
        <v>17</v>
      </c>
      <c r="D101" s="1">
        <v>0</v>
      </c>
      <c r="E101" s="1">
        <v>0</v>
      </c>
      <c r="F101" s="1">
        <v>0</v>
      </c>
    </row>
    <row r="102" spans="1:6">
      <c r="A102">
        <v>417</v>
      </c>
      <c r="B102" t="s">
        <v>150</v>
      </c>
      <c r="C102">
        <v>15</v>
      </c>
      <c r="D102" s="1">
        <v>1.4</v>
      </c>
      <c r="E102" s="1">
        <v>0</v>
      </c>
      <c r="F102" s="1">
        <v>0</v>
      </c>
    </row>
    <row r="103" spans="1:6">
      <c r="A103">
        <v>418</v>
      </c>
      <c r="B103" t="s">
        <v>151</v>
      </c>
      <c r="C103">
        <v>21</v>
      </c>
      <c r="D103" s="1">
        <v>15.432790603147565</v>
      </c>
      <c r="E103" s="1">
        <v>0</v>
      </c>
      <c r="F103" s="1">
        <v>0</v>
      </c>
    </row>
    <row r="104" spans="1:6">
      <c r="A104">
        <v>422</v>
      </c>
      <c r="B104" t="s">
        <v>152</v>
      </c>
      <c r="C104">
        <v>17</v>
      </c>
      <c r="D104" s="1">
        <v>11.1</v>
      </c>
      <c r="E104" s="1">
        <v>0</v>
      </c>
      <c r="F104" s="1">
        <v>0</v>
      </c>
    </row>
    <row r="105" spans="1:6">
      <c r="A105">
        <v>426</v>
      </c>
      <c r="B105" t="s">
        <v>153</v>
      </c>
      <c r="C105">
        <v>26</v>
      </c>
      <c r="D105" s="1">
        <v>57.899999999999991</v>
      </c>
      <c r="E105" s="1">
        <v>28.586614671545043</v>
      </c>
      <c r="F105" s="1">
        <v>0.32081647001044189</v>
      </c>
    </row>
    <row r="106" spans="1:6">
      <c r="A106">
        <v>428</v>
      </c>
      <c r="B106" t="s">
        <v>154</v>
      </c>
      <c r="C106">
        <v>12</v>
      </c>
      <c r="D106" s="1">
        <v>8.3000000000000007</v>
      </c>
      <c r="E106" s="1">
        <v>0</v>
      </c>
      <c r="F106" s="1">
        <v>0</v>
      </c>
    </row>
    <row r="107" spans="1:6">
      <c r="A107">
        <v>430</v>
      </c>
      <c r="B107" t="s">
        <v>155</v>
      </c>
      <c r="C107">
        <v>8</v>
      </c>
      <c r="D107" s="1">
        <v>61.161161161161161</v>
      </c>
      <c r="E107" s="1">
        <v>25.499992480492722</v>
      </c>
      <c r="F107" s="1">
        <v>0</v>
      </c>
    </row>
    <row r="108" spans="1:6">
      <c r="A108">
        <v>434</v>
      </c>
      <c r="B108" t="s">
        <v>156</v>
      </c>
      <c r="C108">
        <v>7</v>
      </c>
      <c r="D108" s="1">
        <v>0.99900099900099903</v>
      </c>
      <c r="E108" s="1">
        <v>0</v>
      </c>
      <c r="F108" s="1">
        <v>0</v>
      </c>
    </row>
    <row r="109" spans="1:6">
      <c r="A109">
        <v>438</v>
      </c>
      <c r="B109" t="s">
        <v>157</v>
      </c>
      <c r="C109">
        <v>11</v>
      </c>
      <c r="D109" s="1">
        <v>0</v>
      </c>
      <c r="E109" s="1">
        <v>0</v>
      </c>
      <c r="F109" s="1">
        <v>0</v>
      </c>
    </row>
    <row r="110" spans="1:6">
      <c r="A110">
        <v>440</v>
      </c>
      <c r="B110" t="s">
        <v>158</v>
      </c>
      <c r="C110">
        <v>12</v>
      </c>
      <c r="D110" s="1">
        <v>8.4084084084084072</v>
      </c>
      <c r="E110" s="1">
        <v>0</v>
      </c>
      <c r="F110" s="1">
        <v>0</v>
      </c>
    </row>
    <row r="111" spans="1:6">
      <c r="A111">
        <v>442</v>
      </c>
      <c r="B111" t="s">
        <v>159</v>
      </c>
      <c r="C111">
        <v>11</v>
      </c>
      <c r="D111" s="1">
        <v>0</v>
      </c>
      <c r="E111" s="1">
        <v>0</v>
      </c>
      <c r="F111" s="1">
        <v>0</v>
      </c>
    </row>
    <row r="112" spans="1:6">
      <c r="A112">
        <v>450</v>
      </c>
      <c r="B112" t="s">
        <v>160</v>
      </c>
      <c r="C112">
        <v>9</v>
      </c>
      <c r="D112" s="1">
        <v>80.299999999999983</v>
      </c>
      <c r="E112" s="1">
        <v>47.589266047677498</v>
      </c>
      <c r="F112" s="1">
        <v>0</v>
      </c>
    </row>
    <row r="113" spans="1:6">
      <c r="A113">
        <v>454</v>
      </c>
      <c r="B113" t="s">
        <v>161</v>
      </c>
      <c r="C113">
        <v>26</v>
      </c>
      <c r="D113" s="1">
        <v>63.599999999999994</v>
      </c>
      <c r="E113" s="1">
        <v>34.452277112509208</v>
      </c>
      <c r="F113" s="1">
        <v>0</v>
      </c>
    </row>
    <row r="114" spans="1:6">
      <c r="A114">
        <v>458</v>
      </c>
      <c r="B114" t="s">
        <v>162</v>
      </c>
      <c r="C114">
        <v>21</v>
      </c>
      <c r="D114" s="1">
        <v>1.1011011011011012</v>
      </c>
      <c r="E114" s="1">
        <v>0</v>
      </c>
      <c r="F114" s="1">
        <v>0</v>
      </c>
    </row>
    <row r="115" spans="1:6">
      <c r="A115">
        <v>466</v>
      </c>
      <c r="B115" t="s">
        <v>163</v>
      </c>
      <c r="C115">
        <v>8</v>
      </c>
      <c r="D115" s="1">
        <v>54.85485485485485</v>
      </c>
      <c r="E115" s="1">
        <v>23.867321397161504</v>
      </c>
      <c r="F115" s="1">
        <v>0</v>
      </c>
    </row>
    <row r="116" spans="1:6">
      <c r="A116">
        <v>470</v>
      </c>
      <c r="B116" t="s">
        <v>164</v>
      </c>
      <c r="C116">
        <v>12</v>
      </c>
      <c r="D116" s="1">
        <v>0</v>
      </c>
      <c r="E116" s="1">
        <v>0</v>
      </c>
      <c r="F116" s="1">
        <v>0</v>
      </c>
    </row>
    <row r="117" spans="1:6">
      <c r="A117">
        <v>474</v>
      </c>
      <c r="B117" t="s">
        <v>165</v>
      </c>
      <c r="C117">
        <v>4</v>
      </c>
      <c r="D117" s="1">
        <v>1.7982017982017984</v>
      </c>
      <c r="E117" s="1">
        <v>0</v>
      </c>
      <c r="F117" s="1">
        <v>0</v>
      </c>
    </row>
    <row r="118" spans="1:6">
      <c r="A118">
        <v>478</v>
      </c>
      <c r="B118" t="s">
        <v>166</v>
      </c>
      <c r="C118">
        <v>8</v>
      </c>
      <c r="D118" s="1">
        <v>57.342657342657347</v>
      </c>
      <c r="E118" s="1">
        <v>32.249666324744254</v>
      </c>
      <c r="F118" s="1">
        <v>8.3156664132478397</v>
      </c>
    </row>
    <row r="119" spans="1:6">
      <c r="A119">
        <v>480</v>
      </c>
      <c r="B119" t="s">
        <v>167</v>
      </c>
      <c r="C119">
        <v>9</v>
      </c>
      <c r="D119" s="1">
        <v>1</v>
      </c>
      <c r="E119" s="1">
        <v>0</v>
      </c>
      <c r="F119" s="1">
        <v>0</v>
      </c>
    </row>
    <row r="120" spans="1:6">
      <c r="A120">
        <v>484</v>
      </c>
      <c r="B120" t="s">
        <v>168</v>
      </c>
      <c r="C120">
        <v>3</v>
      </c>
      <c r="D120" s="1">
        <v>8.0080080080080087</v>
      </c>
      <c r="E120" s="1">
        <v>0</v>
      </c>
      <c r="F120" s="1">
        <v>0</v>
      </c>
    </row>
    <row r="121" spans="1:6">
      <c r="A121">
        <v>496</v>
      </c>
      <c r="B121" t="s">
        <v>169</v>
      </c>
      <c r="C121">
        <v>20</v>
      </c>
      <c r="D121" s="1">
        <v>16</v>
      </c>
      <c r="E121" s="1">
        <v>0</v>
      </c>
      <c r="F121" s="1">
        <v>0</v>
      </c>
    </row>
    <row r="122" spans="1:6">
      <c r="A122">
        <v>498</v>
      </c>
      <c r="B122" t="s">
        <v>170</v>
      </c>
      <c r="C122">
        <v>14</v>
      </c>
      <c r="D122" s="1">
        <v>16.600000000000001</v>
      </c>
      <c r="E122" s="1">
        <v>0</v>
      </c>
      <c r="F122" s="1">
        <v>0</v>
      </c>
    </row>
    <row r="123" spans="1:6">
      <c r="A123">
        <v>500</v>
      </c>
      <c r="B123" t="s">
        <v>171</v>
      </c>
      <c r="C123">
        <v>4</v>
      </c>
      <c r="D123" s="1">
        <v>16.9433445770999</v>
      </c>
      <c r="E123" s="1">
        <v>0</v>
      </c>
      <c r="F123" s="1">
        <v>0</v>
      </c>
    </row>
    <row r="124" spans="1:6">
      <c r="A124">
        <v>504</v>
      </c>
      <c r="B124" t="s">
        <v>172</v>
      </c>
      <c r="C124">
        <v>7</v>
      </c>
      <c r="D124" s="1">
        <v>13.600000000000001</v>
      </c>
      <c r="E124" s="1">
        <v>0</v>
      </c>
      <c r="F124" s="1">
        <v>0</v>
      </c>
    </row>
    <row r="125" spans="1:6">
      <c r="A125">
        <v>508</v>
      </c>
      <c r="B125" t="s">
        <v>173</v>
      </c>
      <c r="C125">
        <v>26</v>
      </c>
      <c r="D125" s="1">
        <v>75.300000000000011</v>
      </c>
      <c r="E125" s="1">
        <v>45.891150728414026</v>
      </c>
      <c r="F125" s="1">
        <v>8.1608197035873076</v>
      </c>
    </row>
    <row r="126" spans="1:6">
      <c r="A126">
        <v>512</v>
      </c>
      <c r="B126" t="s">
        <v>174</v>
      </c>
      <c r="C126">
        <v>17</v>
      </c>
      <c r="D126" s="1">
        <v>2.9000000000000004</v>
      </c>
      <c r="E126" s="1">
        <v>0</v>
      </c>
      <c r="F126" s="1">
        <v>0</v>
      </c>
    </row>
    <row r="127" spans="1:6">
      <c r="A127">
        <v>516</v>
      </c>
      <c r="B127" t="s">
        <v>175</v>
      </c>
      <c r="C127">
        <v>26</v>
      </c>
      <c r="D127" s="1">
        <v>56.843156843156848</v>
      </c>
      <c r="E127" s="1">
        <v>45.868238389107546</v>
      </c>
      <c r="F127" s="1">
        <v>33.169766324531878</v>
      </c>
    </row>
    <row r="128" spans="1:6">
      <c r="A128">
        <v>524</v>
      </c>
      <c r="B128" t="s">
        <v>176</v>
      </c>
      <c r="C128">
        <v>25</v>
      </c>
      <c r="D128" s="1">
        <v>44.300000000000004</v>
      </c>
      <c r="E128" s="1">
        <v>4.778824646928328</v>
      </c>
      <c r="F128" s="1">
        <v>0</v>
      </c>
    </row>
    <row r="129" spans="1:6">
      <c r="A129">
        <v>528</v>
      </c>
      <c r="B129" t="s">
        <v>177</v>
      </c>
      <c r="C129">
        <v>11</v>
      </c>
      <c r="D129" s="1">
        <v>0</v>
      </c>
      <c r="E129" s="1">
        <v>0</v>
      </c>
      <c r="F129" s="1">
        <v>0</v>
      </c>
    </row>
    <row r="130" spans="1:6">
      <c r="A130">
        <v>530</v>
      </c>
      <c r="B130" t="s">
        <v>178</v>
      </c>
      <c r="C130">
        <v>4</v>
      </c>
      <c r="D130" s="1">
        <v>16.9433445770999</v>
      </c>
      <c r="E130" s="1">
        <v>0</v>
      </c>
      <c r="F130" s="1">
        <v>0</v>
      </c>
    </row>
    <row r="131" spans="1:6">
      <c r="A131">
        <v>533</v>
      </c>
      <c r="B131" t="s">
        <v>179</v>
      </c>
      <c r="C131">
        <v>4</v>
      </c>
      <c r="D131" s="1">
        <v>16.9433445770999</v>
      </c>
      <c r="E131" s="1">
        <v>0</v>
      </c>
      <c r="F131" s="1">
        <v>0</v>
      </c>
    </row>
    <row r="132" spans="1:6">
      <c r="A132">
        <v>540</v>
      </c>
      <c r="B132" t="s">
        <v>180</v>
      </c>
      <c r="C132">
        <v>24</v>
      </c>
      <c r="D132" s="1">
        <v>0</v>
      </c>
      <c r="E132" s="1">
        <v>0</v>
      </c>
      <c r="F132" s="1">
        <v>0</v>
      </c>
    </row>
    <row r="133" spans="1:6">
      <c r="A133">
        <v>548</v>
      </c>
      <c r="B133" t="s">
        <v>181</v>
      </c>
      <c r="C133">
        <v>24</v>
      </c>
      <c r="D133" s="1">
        <v>29.47052947052947</v>
      </c>
      <c r="E133" s="1">
        <v>9.1818801742447107</v>
      </c>
      <c r="F133" s="1">
        <v>0</v>
      </c>
    </row>
    <row r="134" spans="1:6">
      <c r="A134">
        <v>554</v>
      </c>
      <c r="B134" t="s">
        <v>182</v>
      </c>
      <c r="C134">
        <v>24</v>
      </c>
      <c r="D134" s="1">
        <v>0</v>
      </c>
      <c r="E134" s="1">
        <v>0</v>
      </c>
      <c r="F134" s="1">
        <v>0</v>
      </c>
    </row>
    <row r="135" spans="1:6">
      <c r="A135">
        <v>558</v>
      </c>
      <c r="B135" t="s">
        <v>183</v>
      </c>
      <c r="C135">
        <v>4</v>
      </c>
      <c r="D135" s="1">
        <v>26.4</v>
      </c>
      <c r="E135" s="1">
        <v>0</v>
      </c>
      <c r="F135" s="1">
        <v>0</v>
      </c>
    </row>
    <row r="136" spans="1:6">
      <c r="A136">
        <v>562</v>
      </c>
      <c r="B136" t="s">
        <v>184</v>
      </c>
      <c r="C136">
        <v>8</v>
      </c>
      <c r="D136" s="1">
        <v>83</v>
      </c>
      <c r="E136" s="1">
        <v>51.849546681225327</v>
      </c>
      <c r="F136" s="1">
        <v>0</v>
      </c>
    </row>
    <row r="137" spans="1:6">
      <c r="A137">
        <v>566</v>
      </c>
      <c r="B137" t="s">
        <v>185</v>
      </c>
      <c r="C137">
        <v>8</v>
      </c>
      <c r="D137" s="1">
        <v>43.399999999999991</v>
      </c>
      <c r="E137" s="1">
        <v>21.289355012453299</v>
      </c>
      <c r="F137" s="1">
        <v>0</v>
      </c>
    </row>
    <row r="138" spans="1:6">
      <c r="A138">
        <v>578</v>
      </c>
      <c r="B138" t="s">
        <v>186</v>
      </c>
      <c r="C138">
        <v>11</v>
      </c>
      <c r="D138" s="1">
        <v>0</v>
      </c>
      <c r="E138" s="1">
        <v>0</v>
      </c>
      <c r="F138" s="1">
        <v>0</v>
      </c>
    </row>
    <row r="139" spans="1:6">
      <c r="A139">
        <v>586</v>
      </c>
      <c r="B139" t="s">
        <v>187</v>
      </c>
      <c r="C139">
        <v>25</v>
      </c>
      <c r="D139" s="1">
        <v>43.8</v>
      </c>
      <c r="E139" s="1">
        <v>11.569325374013232</v>
      </c>
      <c r="F139" s="1">
        <v>0</v>
      </c>
    </row>
    <row r="140" spans="1:6">
      <c r="A140">
        <v>591</v>
      </c>
      <c r="B140" t="s">
        <v>188</v>
      </c>
      <c r="C140">
        <v>4</v>
      </c>
      <c r="D140" s="1">
        <v>19.100000000000001</v>
      </c>
      <c r="E140" s="1">
        <v>0</v>
      </c>
      <c r="F140" s="1">
        <v>0</v>
      </c>
    </row>
    <row r="141" spans="1:6">
      <c r="A141">
        <v>598</v>
      </c>
      <c r="B141" t="s">
        <v>189</v>
      </c>
      <c r="C141">
        <v>22</v>
      </c>
      <c r="D141" s="1">
        <v>79.7</v>
      </c>
      <c r="E141" s="1">
        <v>53.001806933755269</v>
      </c>
      <c r="F141" s="1">
        <v>4.0040717276382054</v>
      </c>
    </row>
    <row r="142" spans="1:6">
      <c r="A142">
        <v>600</v>
      </c>
      <c r="B142" t="s">
        <v>190</v>
      </c>
      <c r="C142">
        <v>6</v>
      </c>
      <c r="D142" s="1">
        <v>14.714714714714713</v>
      </c>
      <c r="E142" s="1">
        <v>0</v>
      </c>
      <c r="F142" s="1">
        <v>0</v>
      </c>
    </row>
    <row r="143" spans="1:6">
      <c r="A143">
        <v>604</v>
      </c>
      <c r="B143" t="s">
        <v>191</v>
      </c>
      <c r="C143">
        <v>6</v>
      </c>
      <c r="D143" s="1">
        <v>20.079920079920079</v>
      </c>
      <c r="E143" s="1">
        <v>3.5354364564393137</v>
      </c>
      <c r="F143" s="1">
        <v>0</v>
      </c>
    </row>
    <row r="144" spans="1:6">
      <c r="A144">
        <v>608</v>
      </c>
      <c r="B144" t="s">
        <v>192</v>
      </c>
      <c r="C144">
        <v>21</v>
      </c>
      <c r="D144" s="1">
        <v>12.612612612612615</v>
      </c>
      <c r="E144" s="1">
        <v>0</v>
      </c>
      <c r="F144" s="1">
        <v>0</v>
      </c>
    </row>
    <row r="145" spans="1:6">
      <c r="A145">
        <v>616</v>
      </c>
      <c r="B145" t="s">
        <v>193</v>
      </c>
      <c r="C145">
        <v>12</v>
      </c>
      <c r="D145" s="1">
        <v>4.7</v>
      </c>
      <c r="E145" s="1">
        <v>0</v>
      </c>
      <c r="F145" s="1">
        <v>0</v>
      </c>
    </row>
    <row r="146" spans="1:6">
      <c r="A146">
        <v>620</v>
      </c>
      <c r="B146" t="s">
        <v>194</v>
      </c>
      <c r="C146">
        <v>11</v>
      </c>
      <c r="D146" s="1">
        <v>0.9</v>
      </c>
      <c r="E146" s="1">
        <v>0</v>
      </c>
      <c r="F146" s="1">
        <v>0</v>
      </c>
    </row>
    <row r="147" spans="1:6">
      <c r="A147">
        <v>624</v>
      </c>
      <c r="B147" t="s">
        <v>195</v>
      </c>
      <c r="C147">
        <v>8</v>
      </c>
      <c r="D147" s="1">
        <v>69.599999999999994</v>
      </c>
      <c r="E147" s="1">
        <v>41.172455012499512</v>
      </c>
      <c r="F147" s="1">
        <v>2.7928025976293327</v>
      </c>
    </row>
    <row r="148" spans="1:6">
      <c r="A148">
        <v>626</v>
      </c>
      <c r="B148" t="s">
        <v>196</v>
      </c>
      <c r="C148">
        <v>22</v>
      </c>
      <c r="D148" s="1">
        <v>46.4</v>
      </c>
      <c r="E148" s="1">
        <v>9.4903308176315022</v>
      </c>
      <c r="F148" s="1">
        <v>0</v>
      </c>
    </row>
    <row r="149" spans="1:6">
      <c r="A149">
        <v>630</v>
      </c>
      <c r="B149" t="s">
        <v>197</v>
      </c>
      <c r="C149">
        <v>4</v>
      </c>
      <c r="D149" s="1">
        <v>2.9</v>
      </c>
      <c r="E149" s="1">
        <v>0</v>
      </c>
      <c r="F149" s="1">
        <v>0</v>
      </c>
    </row>
    <row r="150" spans="1:6">
      <c r="A150">
        <v>634</v>
      </c>
      <c r="B150" t="s">
        <v>198</v>
      </c>
      <c r="C150">
        <v>17</v>
      </c>
      <c r="D150" s="1">
        <v>0</v>
      </c>
      <c r="E150" s="1">
        <v>0</v>
      </c>
      <c r="F150" s="1">
        <v>0</v>
      </c>
    </row>
    <row r="151" spans="1:6">
      <c r="A151">
        <v>638</v>
      </c>
      <c r="B151" t="s">
        <v>199</v>
      </c>
      <c r="C151">
        <v>9</v>
      </c>
      <c r="D151" s="1">
        <v>0.8</v>
      </c>
      <c r="E151" s="1">
        <v>0</v>
      </c>
      <c r="F151" s="1">
        <v>0</v>
      </c>
    </row>
    <row r="152" spans="1:6">
      <c r="A152">
        <v>642</v>
      </c>
      <c r="B152" t="s">
        <v>200</v>
      </c>
      <c r="C152">
        <v>12</v>
      </c>
      <c r="D152" s="1">
        <v>20.7</v>
      </c>
      <c r="E152" s="1">
        <v>1.7101349706171618</v>
      </c>
      <c r="F152" s="1">
        <v>0</v>
      </c>
    </row>
    <row r="153" spans="1:6">
      <c r="A153">
        <v>643</v>
      </c>
      <c r="B153" t="s">
        <v>201</v>
      </c>
      <c r="C153">
        <v>16</v>
      </c>
      <c r="D153" s="1">
        <v>12.4</v>
      </c>
      <c r="E153" s="1">
        <v>0</v>
      </c>
      <c r="F153" s="1">
        <v>0</v>
      </c>
    </row>
    <row r="154" spans="1:6">
      <c r="A154">
        <v>646</v>
      </c>
      <c r="B154" t="s">
        <v>202</v>
      </c>
      <c r="C154">
        <v>9</v>
      </c>
      <c r="D154" s="1">
        <v>30.499999999999996</v>
      </c>
      <c r="E154" s="1">
        <v>0</v>
      </c>
      <c r="F154" s="1">
        <v>0</v>
      </c>
    </row>
    <row r="155" spans="1:6">
      <c r="A155">
        <v>659</v>
      </c>
      <c r="B155" t="s">
        <v>203</v>
      </c>
      <c r="C155">
        <v>4</v>
      </c>
      <c r="D155" s="1">
        <v>7.0070070070070063</v>
      </c>
      <c r="E155" s="1">
        <v>0</v>
      </c>
      <c r="F155" s="1">
        <v>0</v>
      </c>
    </row>
    <row r="156" spans="1:6">
      <c r="A156">
        <v>660</v>
      </c>
      <c r="B156" t="s">
        <v>204</v>
      </c>
      <c r="C156">
        <v>4</v>
      </c>
      <c r="D156" s="1">
        <v>16.9433445770999</v>
      </c>
      <c r="E156" s="1">
        <v>0</v>
      </c>
      <c r="F156" s="1">
        <v>0</v>
      </c>
    </row>
    <row r="157" spans="1:6">
      <c r="A157">
        <v>662</v>
      </c>
      <c r="B157" t="s">
        <v>205</v>
      </c>
      <c r="C157">
        <v>4</v>
      </c>
      <c r="D157" s="1">
        <v>4.7</v>
      </c>
      <c r="E157" s="1">
        <v>0</v>
      </c>
      <c r="F157" s="1">
        <v>0</v>
      </c>
    </row>
    <row r="158" spans="1:6">
      <c r="A158">
        <v>666</v>
      </c>
      <c r="B158" t="s">
        <v>206</v>
      </c>
      <c r="C158">
        <v>2</v>
      </c>
      <c r="D158" s="1">
        <v>0</v>
      </c>
      <c r="E158" s="1">
        <v>0</v>
      </c>
      <c r="F158" s="1">
        <v>0</v>
      </c>
    </row>
    <row r="159" spans="1:6">
      <c r="A159">
        <v>670</v>
      </c>
      <c r="B159" t="s">
        <v>207</v>
      </c>
      <c r="C159">
        <v>4</v>
      </c>
      <c r="D159" s="1">
        <v>14.7</v>
      </c>
      <c r="E159" s="1">
        <v>0.80687097730367441</v>
      </c>
      <c r="F159" s="1">
        <v>0</v>
      </c>
    </row>
    <row r="160" spans="1:6">
      <c r="A160">
        <v>678</v>
      </c>
      <c r="B160" t="s">
        <v>208</v>
      </c>
      <c r="C160">
        <v>8</v>
      </c>
      <c r="D160" s="1">
        <v>60.6</v>
      </c>
      <c r="E160" s="1">
        <v>33.527366111270098</v>
      </c>
      <c r="F160" s="1">
        <v>19.15844148676122</v>
      </c>
    </row>
    <row r="161" spans="1:6">
      <c r="A161">
        <v>682</v>
      </c>
      <c r="B161" t="s">
        <v>209</v>
      </c>
      <c r="C161">
        <v>17</v>
      </c>
      <c r="D161" s="1">
        <v>0.70070070070070067</v>
      </c>
      <c r="E161" s="1">
        <v>0</v>
      </c>
      <c r="F161" s="1">
        <v>0</v>
      </c>
    </row>
    <row r="162" spans="1:6">
      <c r="A162">
        <v>686</v>
      </c>
      <c r="B162" t="s">
        <v>210</v>
      </c>
      <c r="C162">
        <v>8</v>
      </c>
      <c r="D162" s="1">
        <v>39.5</v>
      </c>
      <c r="E162" s="1">
        <v>13.91836848123036</v>
      </c>
      <c r="F162" s="1">
        <v>0</v>
      </c>
    </row>
    <row r="163" spans="1:6">
      <c r="A163">
        <v>694</v>
      </c>
      <c r="B163" t="s">
        <v>211</v>
      </c>
      <c r="C163">
        <v>8</v>
      </c>
      <c r="D163" s="1">
        <v>56.943056943056945</v>
      </c>
      <c r="E163" s="1">
        <v>29.956537594914252</v>
      </c>
      <c r="F163" s="1">
        <v>0</v>
      </c>
    </row>
    <row r="164" spans="1:6">
      <c r="A164">
        <v>702</v>
      </c>
      <c r="B164" t="s">
        <v>212</v>
      </c>
      <c r="C164">
        <v>21</v>
      </c>
      <c r="D164" s="1">
        <v>0</v>
      </c>
      <c r="E164" s="1">
        <v>0</v>
      </c>
      <c r="F164" s="1">
        <v>0</v>
      </c>
    </row>
    <row r="165" spans="1:6">
      <c r="A165">
        <v>703</v>
      </c>
      <c r="B165" t="s">
        <v>213</v>
      </c>
      <c r="C165">
        <v>12</v>
      </c>
      <c r="D165" s="1">
        <v>9.9900099900099903E-2</v>
      </c>
      <c r="E165" s="1">
        <v>0</v>
      </c>
      <c r="F165" s="1">
        <v>0</v>
      </c>
    </row>
    <row r="166" spans="1:6">
      <c r="A166">
        <v>704</v>
      </c>
      <c r="B166" t="s">
        <v>214</v>
      </c>
      <c r="C166">
        <v>21</v>
      </c>
      <c r="D166" s="1">
        <v>25.199999999999996</v>
      </c>
      <c r="E166" s="1">
        <v>0</v>
      </c>
      <c r="F166" s="1">
        <v>0</v>
      </c>
    </row>
    <row r="167" spans="1:6">
      <c r="A167">
        <v>705</v>
      </c>
      <c r="B167" t="s">
        <v>215</v>
      </c>
      <c r="C167">
        <v>12</v>
      </c>
      <c r="D167" s="1">
        <v>0</v>
      </c>
      <c r="E167" s="1">
        <v>0</v>
      </c>
      <c r="F167" s="1">
        <v>0</v>
      </c>
    </row>
    <row r="168" spans="1:6">
      <c r="A168">
        <v>706</v>
      </c>
      <c r="B168" t="s">
        <v>216</v>
      </c>
      <c r="C168">
        <v>9</v>
      </c>
      <c r="D168" s="1">
        <v>55.29999999999999</v>
      </c>
      <c r="E168" s="1">
        <v>16.032306785604277</v>
      </c>
      <c r="F168" s="1">
        <v>0</v>
      </c>
    </row>
    <row r="169" spans="1:6">
      <c r="A169">
        <v>710</v>
      </c>
      <c r="B169" t="s">
        <v>217</v>
      </c>
      <c r="C169">
        <v>10</v>
      </c>
      <c r="D169" s="1">
        <v>15.9</v>
      </c>
      <c r="E169" s="1">
        <v>0</v>
      </c>
      <c r="F169" s="1">
        <v>0</v>
      </c>
    </row>
    <row r="170" spans="1:6">
      <c r="A170">
        <v>716</v>
      </c>
      <c r="B170" t="s">
        <v>218</v>
      </c>
      <c r="C170">
        <v>26</v>
      </c>
      <c r="D170" s="1">
        <v>35.199999999999996</v>
      </c>
      <c r="E170" s="1">
        <v>14.905438907727444</v>
      </c>
      <c r="F170" s="1">
        <v>0</v>
      </c>
    </row>
    <row r="171" spans="1:6">
      <c r="A171">
        <v>724</v>
      </c>
      <c r="B171" t="s">
        <v>219</v>
      </c>
      <c r="C171">
        <v>11</v>
      </c>
      <c r="D171" s="1">
        <v>0</v>
      </c>
      <c r="E171" s="1">
        <v>0</v>
      </c>
      <c r="F171" s="1">
        <v>0</v>
      </c>
    </row>
    <row r="172" spans="1:6">
      <c r="A172">
        <v>732</v>
      </c>
      <c r="B172" t="s">
        <v>220</v>
      </c>
      <c r="C172">
        <v>7</v>
      </c>
      <c r="D172" s="1">
        <v>5.2291961251470465</v>
      </c>
      <c r="E172" s="1">
        <v>0</v>
      </c>
      <c r="F172" s="1">
        <v>0</v>
      </c>
    </row>
    <row r="173" spans="1:6">
      <c r="A173">
        <v>736</v>
      </c>
      <c r="B173" t="s">
        <v>221</v>
      </c>
      <c r="C173">
        <v>9</v>
      </c>
      <c r="D173" s="1">
        <v>64.635364635364638</v>
      </c>
      <c r="E173" s="1">
        <v>33.224995745281511</v>
      </c>
      <c r="F173" s="1">
        <v>0</v>
      </c>
    </row>
    <row r="174" spans="1:6">
      <c r="A174">
        <v>740</v>
      </c>
      <c r="B174" t="s">
        <v>222</v>
      </c>
      <c r="C174">
        <v>6</v>
      </c>
      <c r="D174" s="1">
        <v>7.5075075075075075</v>
      </c>
      <c r="E174" s="1">
        <v>0</v>
      </c>
      <c r="F174" s="1">
        <v>0</v>
      </c>
    </row>
    <row r="175" spans="1:6">
      <c r="A175">
        <v>748</v>
      </c>
      <c r="B175" t="s">
        <v>223</v>
      </c>
      <c r="C175">
        <v>26</v>
      </c>
      <c r="D175" s="1">
        <v>61.003558514970294</v>
      </c>
      <c r="E175" s="1">
        <v>45.256761500871328</v>
      </c>
      <c r="F175" s="1">
        <v>23.981668188156732</v>
      </c>
    </row>
    <row r="176" spans="1:6">
      <c r="A176">
        <v>752</v>
      </c>
      <c r="B176" t="s">
        <v>224</v>
      </c>
      <c r="C176">
        <v>11</v>
      </c>
      <c r="D176" s="1">
        <v>0</v>
      </c>
      <c r="E176" s="1">
        <v>0</v>
      </c>
      <c r="F176" s="1">
        <v>0</v>
      </c>
    </row>
    <row r="177" spans="1:6">
      <c r="A177">
        <v>756</v>
      </c>
      <c r="B177" t="s">
        <v>225</v>
      </c>
      <c r="C177">
        <v>11</v>
      </c>
      <c r="D177" s="1">
        <v>0</v>
      </c>
      <c r="E177" s="1">
        <v>0</v>
      </c>
      <c r="F177" s="1">
        <v>0</v>
      </c>
    </row>
    <row r="178" spans="1:6">
      <c r="A178">
        <v>760</v>
      </c>
      <c r="B178" t="s">
        <v>226</v>
      </c>
      <c r="C178">
        <v>17</v>
      </c>
      <c r="D178" s="1">
        <v>1.9000000000000001</v>
      </c>
      <c r="E178" s="1">
        <v>0</v>
      </c>
      <c r="F178" s="1">
        <v>0</v>
      </c>
    </row>
    <row r="179" spans="1:6">
      <c r="A179">
        <v>762</v>
      </c>
      <c r="B179" t="s">
        <v>227</v>
      </c>
      <c r="C179">
        <v>15</v>
      </c>
      <c r="D179" s="1">
        <v>3.2</v>
      </c>
      <c r="E179" s="1">
        <v>0</v>
      </c>
      <c r="F179" s="1">
        <v>0</v>
      </c>
    </row>
    <row r="180" spans="1:6">
      <c r="A180">
        <v>764</v>
      </c>
      <c r="B180" t="s">
        <v>228</v>
      </c>
      <c r="C180">
        <v>21</v>
      </c>
      <c r="D180" s="1">
        <v>0.60060060060060061</v>
      </c>
      <c r="E180" s="1">
        <v>0</v>
      </c>
      <c r="F180" s="1">
        <v>0</v>
      </c>
    </row>
    <row r="181" spans="1:6">
      <c r="A181">
        <v>768</v>
      </c>
      <c r="B181" t="s">
        <v>229</v>
      </c>
      <c r="C181">
        <v>8</v>
      </c>
      <c r="D181" s="1">
        <v>63.463463463463469</v>
      </c>
      <c r="E181" s="1">
        <v>40.571625324720991</v>
      </c>
      <c r="F181" s="1">
        <v>4.9214255626572481</v>
      </c>
    </row>
    <row r="182" spans="1:6">
      <c r="A182">
        <v>776</v>
      </c>
      <c r="B182" t="s">
        <v>230</v>
      </c>
      <c r="C182">
        <v>24</v>
      </c>
      <c r="D182" s="1">
        <v>7.3999999999999995</v>
      </c>
      <c r="E182" s="1">
        <v>0</v>
      </c>
      <c r="F182" s="1">
        <v>0</v>
      </c>
    </row>
    <row r="183" spans="1:6">
      <c r="A183">
        <v>780</v>
      </c>
      <c r="B183" t="s">
        <v>231</v>
      </c>
      <c r="C183">
        <v>4</v>
      </c>
      <c r="D183" s="1">
        <v>1.0010010010010009</v>
      </c>
      <c r="E183" s="1">
        <v>0</v>
      </c>
      <c r="F183" s="1">
        <v>0</v>
      </c>
    </row>
    <row r="184" spans="1:6">
      <c r="A184">
        <v>784</v>
      </c>
      <c r="B184" t="s">
        <v>232</v>
      </c>
      <c r="C184">
        <v>17</v>
      </c>
      <c r="D184" s="1">
        <v>0.7</v>
      </c>
      <c r="E184" s="1">
        <v>0</v>
      </c>
      <c r="F184" s="1">
        <v>0</v>
      </c>
    </row>
    <row r="185" spans="1:6">
      <c r="A185">
        <v>788</v>
      </c>
      <c r="B185" t="s">
        <v>233</v>
      </c>
      <c r="C185">
        <v>7</v>
      </c>
      <c r="D185" s="1">
        <v>8</v>
      </c>
      <c r="E185" s="1">
        <v>0</v>
      </c>
      <c r="F185" s="1">
        <v>0</v>
      </c>
    </row>
    <row r="186" spans="1:6">
      <c r="A186">
        <v>792</v>
      </c>
      <c r="B186" t="s">
        <v>234</v>
      </c>
      <c r="C186">
        <v>13</v>
      </c>
      <c r="D186" s="1">
        <v>6.6000000000000005</v>
      </c>
      <c r="E186" s="1">
        <v>0</v>
      </c>
      <c r="F186" s="1">
        <v>0</v>
      </c>
    </row>
    <row r="187" spans="1:6">
      <c r="A187">
        <v>795</v>
      </c>
      <c r="B187" t="s">
        <v>235</v>
      </c>
      <c r="C187">
        <v>15</v>
      </c>
      <c r="D187" s="1">
        <v>1.3660606196913063</v>
      </c>
      <c r="E187" s="1">
        <v>0</v>
      </c>
      <c r="F187" s="1">
        <v>0</v>
      </c>
    </row>
    <row r="188" spans="1:6">
      <c r="A188">
        <v>796</v>
      </c>
      <c r="B188" t="s">
        <v>236</v>
      </c>
      <c r="C188">
        <v>4</v>
      </c>
      <c r="D188" s="1">
        <v>14</v>
      </c>
      <c r="E188" s="1">
        <v>0</v>
      </c>
      <c r="F188" s="1">
        <v>0</v>
      </c>
    </row>
    <row r="189" spans="1:6">
      <c r="A189">
        <v>800</v>
      </c>
      <c r="B189" t="s">
        <v>237</v>
      </c>
      <c r="C189">
        <v>9</v>
      </c>
      <c r="D189" s="1">
        <v>66.833166833166842</v>
      </c>
      <c r="E189" s="1">
        <v>34.022143306074923</v>
      </c>
      <c r="F189" s="1">
        <v>0</v>
      </c>
    </row>
    <row r="190" spans="1:6">
      <c r="A190">
        <v>804</v>
      </c>
      <c r="B190" t="s">
        <v>238</v>
      </c>
      <c r="C190">
        <v>14</v>
      </c>
      <c r="D190" s="1">
        <v>1.9</v>
      </c>
      <c r="E190" s="1">
        <v>0</v>
      </c>
      <c r="F190" s="1">
        <v>0</v>
      </c>
    </row>
    <row r="191" spans="1:6">
      <c r="A191">
        <v>807</v>
      </c>
      <c r="B191" t="s">
        <v>239</v>
      </c>
      <c r="C191">
        <v>12</v>
      </c>
      <c r="D191" s="1">
        <v>2.2000000000000002</v>
      </c>
      <c r="E191" s="1">
        <v>0</v>
      </c>
      <c r="F191" s="1">
        <v>0</v>
      </c>
    </row>
    <row r="192" spans="1:6">
      <c r="A192">
        <v>818</v>
      </c>
      <c r="B192" t="s">
        <v>240</v>
      </c>
      <c r="C192">
        <v>7</v>
      </c>
      <c r="D192" s="1">
        <v>2</v>
      </c>
      <c r="E192" s="1">
        <v>0</v>
      </c>
      <c r="F192" s="1">
        <v>0</v>
      </c>
    </row>
    <row r="193" spans="1:6">
      <c r="A193">
        <v>826</v>
      </c>
      <c r="B193" t="s">
        <v>241</v>
      </c>
      <c r="C193">
        <v>11</v>
      </c>
      <c r="D193" s="1">
        <v>0.2</v>
      </c>
      <c r="E193" s="1">
        <v>0</v>
      </c>
      <c r="F193" s="1">
        <v>0</v>
      </c>
    </row>
    <row r="194" spans="1:6">
      <c r="A194">
        <v>834</v>
      </c>
      <c r="B194" t="s">
        <v>242</v>
      </c>
      <c r="C194">
        <v>26</v>
      </c>
      <c r="D194" s="1">
        <v>70.800000000000011</v>
      </c>
      <c r="E194" s="1">
        <v>32.805728214389063</v>
      </c>
      <c r="F194" s="1">
        <v>0.22317039581449194</v>
      </c>
    </row>
    <row r="195" spans="1:6">
      <c r="A195">
        <v>840</v>
      </c>
      <c r="B195" t="s">
        <v>243</v>
      </c>
      <c r="C195">
        <v>2</v>
      </c>
      <c r="D195" s="1">
        <v>0</v>
      </c>
      <c r="E195" s="1">
        <v>0</v>
      </c>
      <c r="F195" s="1">
        <v>0</v>
      </c>
    </row>
    <row r="196" spans="1:6">
      <c r="A196">
        <v>850</v>
      </c>
      <c r="B196" t="s">
        <v>244</v>
      </c>
      <c r="C196">
        <v>4</v>
      </c>
      <c r="D196" s="1">
        <v>0.8</v>
      </c>
      <c r="E196" s="1">
        <v>0</v>
      </c>
      <c r="F196" s="1">
        <v>0</v>
      </c>
    </row>
    <row r="197" spans="1:6">
      <c r="A197">
        <v>854</v>
      </c>
      <c r="B197" t="s">
        <v>245</v>
      </c>
      <c r="C197">
        <v>8</v>
      </c>
      <c r="D197" s="1">
        <v>64.164164164164177</v>
      </c>
      <c r="E197" s="1">
        <v>32.160972709807766</v>
      </c>
      <c r="F197" s="1">
        <v>0</v>
      </c>
    </row>
    <row r="198" spans="1:6">
      <c r="A198">
        <v>858</v>
      </c>
      <c r="B198" t="s">
        <v>246</v>
      </c>
      <c r="C198">
        <v>6</v>
      </c>
      <c r="D198" s="1">
        <v>2</v>
      </c>
      <c r="E198" s="1">
        <v>0</v>
      </c>
      <c r="F198" s="1">
        <v>0</v>
      </c>
    </row>
    <row r="199" spans="1:6">
      <c r="A199">
        <v>860</v>
      </c>
      <c r="B199" t="s">
        <v>247</v>
      </c>
      <c r="C199">
        <v>15</v>
      </c>
      <c r="D199" s="1">
        <v>1.4014014014014013</v>
      </c>
      <c r="E199" s="1">
        <v>0</v>
      </c>
      <c r="F199" s="1">
        <v>0</v>
      </c>
    </row>
    <row r="200" spans="1:6">
      <c r="A200">
        <v>862</v>
      </c>
      <c r="B200" t="s">
        <v>248</v>
      </c>
      <c r="C200">
        <v>6</v>
      </c>
      <c r="D200" s="1">
        <v>6.1000000000000005</v>
      </c>
      <c r="E200" s="1">
        <v>0</v>
      </c>
      <c r="F200" s="1">
        <v>0</v>
      </c>
    </row>
    <row r="201" spans="1:6">
      <c r="A201">
        <v>882</v>
      </c>
      <c r="B201" t="s">
        <v>249</v>
      </c>
      <c r="C201">
        <v>24</v>
      </c>
      <c r="D201" s="1">
        <v>2.2000000000000002</v>
      </c>
      <c r="E201" s="1">
        <v>0</v>
      </c>
      <c r="F201" s="1">
        <v>0</v>
      </c>
    </row>
    <row r="202" spans="1:6">
      <c r="A202">
        <v>887</v>
      </c>
      <c r="B202" t="s">
        <v>250</v>
      </c>
      <c r="C202">
        <v>17</v>
      </c>
      <c r="D202" s="1">
        <v>43.2</v>
      </c>
      <c r="E202" s="1">
        <v>18.22563360482917</v>
      </c>
      <c r="F202" s="1">
        <v>0</v>
      </c>
    </row>
    <row r="203" spans="1:6">
      <c r="A203">
        <v>891</v>
      </c>
      <c r="B203" t="s">
        <v>251</v>
      </c>
      <c r="C203">
        <v>12</v>
      </c>
      <c r="D203" s="1">
        <v>2.2000000000000002</v>
      </c>
      <c r="E203" s="1">
        <v>0</v>
      </c>
      <c r="F203" s="1">
        <v>0</v>
      </c>
    </row>
    <row r="204" spans="1:6">
      <c r="A204">
        <v>894</v>
      </c>
      <c r="B204" t="s">
        <v>252</v>
      </c>
      <c r="C204">
        <v>26</v>
      </c>
      <c r="D204" s="1">
        <v>59.399999999999991</v>
      </c>
      <c r="E204" s="1">
        <v>32.172942860588222</v>
      </c>
      <c r="F204" s="1">
        <v>0</v>
      </c>
    </row>
  </sheetData>
  <pageMargins left="0.7" right="0.7" top="0.75" bottom="0.75" header="0.3" footer="0.3"/>
  <customProperties>
    <customPr name="EpmWorksheetKeyString_GUID" r:id="rId1"/>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DB335-5239-43E6-BD7F-6F5B8D498E67}">
  <dimension ref="A1:F204"/>
  <sheetViews>
    <sheetView workbookViewId="0"/>
  </sheetViews>
  <sheetFormatPr defaultRowHeight="15"/>
  <sheetData>
    <row r="1" spans="1:6">
      <c r="A1" t="s">
        <v>44</v>
      </c>
      <c r="B1" s="2" t="s">
        <v>253</v>
      </c>
    </row>
    <row r="2" spans="1:6">
      <c r="A2" t="s">
        <v>44</v>
      </c>
      <c r="B2" t="s">
        <v>46</v>
      </c>
      <c r="C2" s="2"/>
    </row>
    <row r="3" spans="1:6">
      <c r="A3" t="s">
        <v>44</v>
      </c>
      <c r="D3" s="2" t="s">
        <v>254</v>
      </c>
      <c r="E3" s="2" t="s">
        <v>255</v>
      </c>
      <c r="F3" s="2" t="s">
        <v>256</v>
      </c>
    </row>
    <row r="4" spans="1:6">
      <c r="A4" t="s">
        <v>50</v>
      </c>
      <c r="B4" t="s">
        <v>51</v>
      </c>
      <c r="C4" t="s">
        <v>52</v>
      </c>
      <c r="D4">
        <v>2010</v>
      </c>
      <c r="E4">
        <v>2050</v>
      </c>
      <c r="F4">
        <v>2100</v>
      </c>
    </row>
    <row r="5" spans="1:6">
      <c r="A5">
        <v>4</v>
      </c>
      <c r="B5" t="s">
        <v>53</v>
      </c>
      <c r="C5">
        <v>25</v>
      </c>
      <c r="D5" s="1">
        <v>34.6</v>
      </c>
      <c r="E5" s="1">
        <v>27.801796150245124</v>
      </c>
      <c r="F5" s="1">
        <v>0</v>
      </c>
    </row>
    <row r="6" spans="1:6">
      <c r="A6">
        <v>8</v>
      </c>
      <c r="B6" t="s">
        <v>54</v>
      </c>
      <c r="C6">
        <v>12</v>
      </c>
      <c r="D6" s="1">
        <v>0</v>
      </c>
      <c r="E6" s="1">
        <v>0</v>
      </c>
      <c r="F6" s="1">
        <v>0</v>
      </c>
    </row>
    <row r="7" spans="1:6">
      <c r="A7">
        <v>12</v>
      </c>
      <c r="B7" t="s">
        <v>55</v>
      </c>
      <c r="C7">
        <v>7</v>
      </c>
      <c r="D7" s="1">
        <v>4.5999999999999996</v>
      </c>
      <c r="E7" s="1">
        <v>0</v>
      </c>
      <c r="F7" s="1">
        <v>0</v>
      </c>
    </row>
    <row r="8" spans="1:6">
      <c r="A8">
        <v>16</v>
      </c>
      <c r="B8" t="s">
        <v>56</v>
      </c>
      <c r="C8">
        <v>24</v>
      </c>
      <c r="D8" s="1">
        <v>1.3911501361089096</v>
      </c>
      <c r="E8" s="1">
        <v>0</v>
      </c>
      <c r="F8" s="1">
        <v>0</v>
      </c>
    </row>
    <row r="9" spans="1:6">
      <c r="A9">
        <v>20</v>
      </c>
      <c r="B9" t="s">
        <v>57</v>
      </c>
      <c r="C9">
        <v>11</v>
      </c>
      <c r="D9" s="1">
        <v>0</v>
      </c>
      <c r="E9" s="1">
        <v>0</v>
      </c>
      <c r="F9" s="1">
        <v>0</v>
      </c>
    </row>
    <row r="10" spans="1:6">
      <c r="A10">
        <v>24</v>
      </c>
      <c r="B10" t="s">
        <v>58</v>
      </c>
      <c r="C10">
        <v>26</v>
      </c>
      <c r="D10" s="1">
        <v>16.100000000000001</v>
      </c>
      <c r="E10" s="1">
        <v>7.1107704126128013</v>
      </c>
      <c r="F10" s="1">
        <v>0</v>
      </c>
    </row>
    <row r="11" spans="1:6">
      <c r="A11">
        <v>31</v>
      </c>
      <c r="B11" t="s">
        <v>59</v>
      </c>
      <c r="C11">
        <v>16</v>
      </c>
      <c r="D11" s="1">
        <v>46.846846846846844</v>
      </c>
      <c r="E11" s="1">
        <v>51.054911783119039</v>
      </c>
      <c r="F11" s="1">
        <v>24.239560044449334</v>
      </c>
    </row>
    <row r="12" spans="1:6">
      <c r="A12">
        <v>32</v>
      </c>
      <c r="B12" t="s">
        <v>60</v>
      </c>
      <c r="C12">
        <v>6</v>
      </c>
      <c r="D12" s="1">
        <v>17.5</v>
      </c>
      <c r="E12" s="1">
        <v>6.1976864873643081</v>
      </c>
      <c r="F12" s="1">
        <v>0</v>
      </c>
    </row>
    <row r="13" spans="1:6">
      <c r="A13">
        <v>36</v>
      </c>
      <c r="B13" t="s">
        <v>61</v>
      </c>
      <c r="C13">
        <v>24</v>
      </c>
      <c r="D13" s="1">
        <v>0</v>
      </c>
      <c r="E13" s="1">
        <v>0</v>
      </c>
      <c r="F13" s="1">
        <v>0</v>
      </c>
    </row>
    <row r="14" spans="1:6">
      <c r="A14">
        <v>40</v>
      </c>
      <c r="B14" t="s">
        <v>62</v>
      </c>
      <c r="C14">
        <v>11</v>
      </c>
      <c r="D14" s="1">
        <v>1</v>
      </c>
      <c r="E14" s="1">
        <v>0</v>
      </c>
      <c r="F14" s="1">
        <v>0</v>
      </c>
    </row>
    <row r="15" spans="1:6">
      <c r="A15">
        <v>44</v>
      </c>
      <c r="B15" t="s">
        <v>63</v>
      </c>
      <c r="C15">
        <v>4</v>
      </c>
      <c r="D15" s="1">
        <v>0.8</v>
      </c>
      <c r="E15" s="1">
        <v>0</v>
      </c>
      <c r="F15" s="1">
        <v>0</v>
      </c>
    </row>
    <row r="16" spans="1:6">
      <c r="A16">
        <v>48</v>
      </c>
      <c r="B16" t="s">
        <v>64</v>
      </c>
      <c r="C16">
        <v>17</v>
      </c>
      <c r="D16" s="1">
        <v>7.5075075075075075</v>
      </c>
      <c r="E16" s="1">
        <v>0</v>
      </c>
      <c r="F16" s="1">
        <v>0</v>
      </c>
    </row>
    <row r="17" spans="1:6">
      <c r="A17">
        <v>50</v>
      </c>
      <c r="B17" t="s">
        <v>65</v>
      </c>
      <c r="C17">
        <v>25</v>
      </c>
      <c r="D17" s="1">
        <v>41.099999999999994</v>
      </c>
      <c r="E17" s="1">
        <v>38.559299010364604</v>
      </c>
      <c r="F17" s="1">
        <v>12.622653011805909</v>
      </c>
    </row>
    <row r="18" spans="1:6">
      <c r="A18">
        <v>51</v>
      </c>
      <c r="B18" t="s">
        <v>66</v>
      </c>
      <c r="C18">
        <v>16</v>
      </c>
      <c r="D18" s="1">
        <v>26.2</v>
      </c>
      <c r="E18" s="1">
        <v>8.5866285851517148</v>
      </c>
      <c r="F18" s="1">
        <v>0</v>
      </c>
    </row>
    <row r="19" spans="1:6">
      <c r="A19">
        <v>52</v>
      </c>
      <c r="B19" t="s">
        <v>67</v>
      </c>
      <c r="C19">
        <v>4</v>
      </c>
      <c r="D19" s="1">
        <v>82.100000000000009</v>
      </c>
      <c r="E19" s="1">
        <v>80.764907426335384</v>
      </c>
      <c r="F19" s="1">
        <v>66.728211427619755</v>
      </c>
    </row>
    <row r="20" spans="1:6">
      <c r="A20">
        <v>56</v>
      </c>
      <c r="B20" t="s">
        <v>68</v>
      </c>
      <c r="C20">
        <v>11</v>
      </c>
      <c r="D20" s="1">
        <v>9.1</v>
      </c>
      <c r="E20" s="1">
        <v>0</v>
      </c>
      <c r="F20" s="1">
        <v>0</v>
      </c>
    </row>
    <row r="21" spans="1:6">
      <c r="A21">
        <v>64</v>
      </c>
      <c r="B21" t="s">
        <v>69</v>
      </c>
      <c r="C21">
        <v>25</v>
      </c>
      <c r="D21" s="1">
        <v>24</v>
      </c>
      <c r="E21" s="1">
        <v>2.1004121009813019</v>
      </c>
      <c r="F21" s="1">
        <v>0</v>
      </c>
    </row>
    <row r="22" spans="1:6">
      <c r="A22">
        <v>68</v>
      </c>
      <c r="B22" t="s">
        <v>70</v>
      </c>
      <c r="C22">
        <v>6</v>
      </c>
      <c r="D22" s="1">
        <v>15.384615384615385</v>
      </c>
      <c r="E22" s="1">
        <v>8.3304254374159257</v>
      </c>
      <c r="F22" s="1">
        <v>0</v>
      </c>
    </row>
    <row r="23" spans="1:6">
      <c r="A23">
        <v>70</v>
      </c>
      <c r="B23" t="s">
        <v>71</v>
      </c>
      <c r="C23">
        <v>12</v>
      </c>
      <c r="D23" s="1">
        <v>7.5</v>
      </c>
      <c r="E23" s="1">
        <v>0</v>
      </c>
      <c r="F23" s="1">
        <v>0</v>
      </c>
    </row>
    <row r="24" spans="1:6">
      <c r="A24">
        <v>72</v>
      </c>
      <c r="B24" t="s">
        <v>72</v>
      </c>
      <c r="C24">
        <v>26</v>
      </c>
      <c r="D24" s="1">
        <v>67.599999999999994</v>
      </c>
      <c r="E24" s="1">
        <v>72.379464440081236</v>
      </c>
      <c r="F24" s="1">
        <v>68.995750885840792</v>
      </c>
    </row>
    <row r="25" spans="1:6">
      <c r="A25">
        <v>76</v>
      </c>
      <c r="B25" t="s">
        <v>73</v>
      </c>
      <c r="C25">
        <v>5</v>
      </c>
      <c r="D25" s="1">
        <v>9.6999999999999993</v>
      </c>
      <c r="E25" s="1">
        <v>4.6376499685242578</v>
      </c>
      <c r="F25" s="1">
        <v>0</v>
      </c>
    </row>
    <row r="26" spans="1:6">
      <c r="A26">
        <v>84</v>
      </c>
      <c r="B26" t="s">
        <v>74</v>
      </c>
      <c r="C26">
        <v>4</v>
      </c>
      <c r="D26" s="1">
        <v>32.700000000000003</v>
      </c>
      <c r="E26" s="1">
        <v>9.2003806710013549</v>
      </c>
      <c r="F26" s="1">
        <v>0</v>
      </c>
    </row>
    <row r="27" spans="1:6">
      <c r="A27">
        <v>90</v>
      </c>
      <c r="B27" t="s">
        <v>75</v>
      </c>
      <c r="C27">
        <v>24</v>
      </c>
      <c r="D27" s="1">
        <v>1.3911501361089096</v>
      </c>
      <c r="E27" s="1">
        <v>0</v>
      </c>
      <c r="F27" s="1">
        <v>0</v>
      </c>
    </row>
    <row r="28" spans="1:6">
      <c r="A28">
        <v>96</v>
      </c>
      <c r="B28" t="s">
        <v>76</v>
      </c>
      <c r="C28">
        <v>21</v>
      </c>
      <c r="D28" s="1">
        <v>1</v>
      </c>
      <c r="E28" s="1">
        <v>0</v>
      </c>
      <c r="F28" s="1">
        <v>0</v>
      </c>
    </row>
    <row r="29" spans="1:6">
      <c r="A29">
        <v>100</v>
      </c>
      <c r="B29" t="s">
        <v>77</v>
      </c>
      <c r="C29">
        <v>12</v>
      </c>
      <c r="D29" s="1">
        <v>0</v>
      </c>
      <c r="E29" s="1">
        <v>0</v>
      </c>
      <c r="F29" s="1">
        <v>0</v>
      </c>
    </row>
    <row r="30" spans="1:6">
      <c r="A30">
        <v>104</v>
      </c>
      <c r="B30" t="s">
        <v>78</v>
      </c>
      <c r="C30">
        <v>21</v>
      </c>
      <c r="D30" s="1">
        <v>65.534465534465525</v>
      </c>
      <c r="E30" s="1">
        <v>57.754228229142996</v>
      </c>
      <c r="F30" s="1">
        <v>41.425239510309595</v>
      </c>
    </row>
    <row r="31" spans="1:6">
      <c r="A31">
        <v>108</v>
      </c>
      <c r="B31" t="s">
        <v>79</v>
      </c>
      <c r="C31">
        <v>9</v>
      </c>
      <c r="D31" s="1">
        <v>51.300000000000004</v>
      </c>
      <c r="E31" s="1">
        <v>40.277122938398421</v>
      </c>
      <c r="F31" s="1">
        <v>0</v>
      </c>
    </row>
    <row r="32" spans="1:6">
      <c r="A32">
        <v>112</v>
      </c>
      <c r="B32" t="s">
        <v>80</v>
      </c>
      <c r="C32">
        <v>14</v>
      </c>
      <c r="D32" s="1">
        <v>12.1</v>
      </c>
      <c r="E32" s="1">
        <v>0</v>
      </c>
      <c r="F32" s="1">
        <v>0</v>
      </c>
    </row>
    <row r="33" spans="1:6">
      <c r="A33">
        <v>116</v>
      </c>
      <c r="B33" t="s">
        <v>81</v>
      </c>
      <c r="C33">
        <v>21</v>
      </c>
      <c r="D33" s="1">
        <v>2.7</v>
      </c>
      <c r="E33" s="1">
        <v>0</v>
      </c>
      <c r="F33" s="1">
        <v>0</v>
      </c>
    </row>
    <row r="34" spans="1:6">
      <c r="A34">
        <v>120</v>
      </c>
      <c r="B34" t="s">
        <v>82</v>
      </c>
      <c r="C34">
        <v>8</v>
      </c>
      <c r="D34" s="1">
        <v>46.9</v>
      </c>
      <c r="E34" s="1">
        <v>36.843864810367862</v>
      </c>
      <c r="F34" s="1">
        <v>25.903579582464488</v>
      </c>
    </row>
    <row r="35" spans="1:6">
      <c r="A35">
        <v>124</v>
      </c>
      <c r="B35" t="s">
        <v>83</v>
      </c>
      <c r="C35">
        <v>1</v>
      </c>
      <c r="D35" s="1">
        <v>4.7047047047047048</v>
      </c>
      <c r="E35" s="1">
        <v>0</v>
      </c>
      <c r="F35" s="1">
        <v>0</v>
      </c>
    </row>
    <row r="36" spans="1:6">
      <c r="A36">
        <v>132</v>
      </c>
      <c r="B36" t="s">
        <v>84</v>
      </c>
      <c r="C36">
        <v>8</v>
      </c>
      <c r="D36" s="1">
        <v>0.7</v>
      </c>
      <c r="E36" s="1">
        <v>0</v>
      </c>
      <c r="F36" s="1">
        <v>0</v>
      </c>
    </row>
    <row r="37" spans="1:6">
      <c r="A37">
        <v>140</v>
      </c>
      <c r="B37" t="s">
        <v>85</v>
      </c>
      <c r="C37">
        <v>8</v>
      </c>
      <c r="D37" s="1">
        <v>36</v>
      </c>
      <c r="E37" s="1">
        <v>30.680041793186675</v>
      </c>
      <c r="F37" s="1">
        <v>16.224016712953556</v>
      </c>
    </row>
    <row r="38" spans="1:6">
      <c r="A38">
        <v>144</v>
      </c>
      <c r="B38" t="s">
        <v>86</v>
      </c>
      <c r="C38">
        <v>25</v>
      </c>
      <c r="D38" s="1">
        <v>87.012987012987011</v>
      </c>
      <c r="E38" s="1">
        <v>68.354271204573053</v>
      </c>
      <c r="F38" s="1">
        <v>45.252693383118462</v>
      </c>
    </row>
    <row r="39" spans="1:6">
      <c r="A39">
        <v>148</v>
      </c>
      <c r="B39" t="s">
        <v>87</v>
      </c>
      <c r="C39">
        <v>8</v>
      </c>
      <c r="D39" s="1">
        <v>13.600000000000001</v>
      </c>
      <c r="E39" s="1">
        <v>5.7703016702386947</v>
      </c>
      <c r="F39" s="1">
        <v>0</v>
      </c>
    </row>
    <row r="40" spans="1:6">
      <c r="A40">
        <v>152</v>
      </c>
      <c r="B40" t="s">
        <v>88</v>
      </c>
      <c r="C40">
        <v>6</v>
      </c>
      <c r="D40" s="1">
        <v>3.1</v>
      </c>
      <c r="E40" s="1">
        <v>0</v>
      </c>
      <c r="F40" s="1">
        <v>0</v>
      </c>
    </row>
    <row r="41" spans="1:6">
      <c r="A41">
        <v>156</v>
      </c>
      <c r="B41" t="s">
        <v>89</v>
      </c>
      <c r="C41">
        <v>20</v>
      </c>
      <c r="D41" s="1">
        <v>23.5</v>
      </c>
      <c r="E41" s="1">
        <v>3.4585175177487884</v>
      </c>
      <c r="F41" s="1">
        <v>0</v>
      </c>
    </row>
    <row r="42" spans="1:6">
      <c r="A42">
        <v>158</v>
      </c>
      <c r="B42" t="s">
        <v>90</v>
      </c>
      <c r="C42">
        <v>20</v>
      </c>
      <c r="D42" s="1">
        <v>23.576100661152868</v>
      </c>
      <c r="E42" s="1">
        <v>2.9322802972918822</v>
      </c>
      <c r="F42" s="1">
        <v>0</v>
      </c>
    </row>
    <row r="43" spans="1:6">
      <c r="A43">
        <v>170</v>
      </c>
      <c r="B43" t="s">
        <v>91</v>
      </c>
      <c r="C43">
        <v>6</v>
      </c>
      <c r="D43" s="1">
        <v>1.3013013013013013</v>
      </c>
      <c r="E43" s="1">
        <v>0</v>
      </c>
      <c r="F43" s="1">
        <v>0</v>
      </c>
    </row>
    <row r="44" spans="1:6">
      <c r="A44">
        <v>174</v>
      </c>
      <c r="B44" t="s">
        <v>92</v>
      </c>
      <c r="C44">
        <v>9</v>
      </c>
      <c r="D44" s="1">
        <v>35.399999999999991</v>
      </c>
      <c r="E44" s="1">
        <v>27.367930892690666</v>
      </c>
      <c r="F44" s="1">
        <v>0</v>
      </c>
    </row>
    <row r="45" spans="1:6">
      <c r="A45">
        <v>178</v>
      </c>
      <c r="B45" t="s">
        <v>93</v>
      </c>
      <c r="C45">
        <v>8</v>
      </c>
      <c r="D45" s="1">
        <v>34.434434434434429</v>
      </c>
      <c r="E45" s="1">
        <v>26.467663837210878</v>
      </c>
      <c r="F45" s="1">
        <v>3.2002481385650441</v>
      </c>
    </row>
    <row r="46" spans="1:6">
      <c r="A46">
        <v>180</v>
      </c>
      <c r="B46" t="s">
        <v>94</v>
      </c>
      <c r="C46">
        <v>8</v>
      </c>
      <c r="D46" s="1">
        <v>36.263736263736256</v>
      </c>
      <c r="E46" s="1">
        <v>20.016337763341369</v>
      </c>
      <c r="F46" s="1">
        <v>0</v>
      </c>
    </row>
    <row r="47" spans="1:6">
      <c r="A47">
        <v>188</v>
      </c>
      <c r="B47" t="s">
        <v>95</v>
      </c>
      <c r="C47">
        <v>4</v>
      </c>
      <c r="D47" s="1">
        <v>0.79920079920079923</v>
      </c>
      <c r="E47" s="1">
        <v>0</v>
      </c>
      <c r="F47" s="1">
        <v>0</v>
      </c>
    </row>
    <row r="48" spans="1:6">
      <c r="A48">
        <v>191</v>
      </c>
      <c r="B48" t="s">
        <v>96</v>
      </c>
      <c r="C48">
        <v>12</v>
      </c>
      <c r="D48" s="1">
        <v>5.1792828685258963</v>
      </c>
      <c r="E48" s="1">
        <v>0</v>
      </c>
      <c r="F48" s="1">
        <v>0</v>
      </c>
    </row>
    <row r="49" spans="1:6">
      <c r="A49">
        <v>192</v>
      </c>
      <c r="B49" t="s">
        <v>97</v>
      </c>
      <c r="C49">
        <v>4</v>
      </c>
      <c r="D49" s="1">
        <v>22.8</v>
      </c>
      <c r="E49" s="1">
        <v>13.37664927409665</v>
      </c>
      <c r="F49" s="1">
        <v>0</v>
      </c>
    </row>
    <row r="50" spans="1:6">
      <c r="A50">
        <v>196</v>
      </c>
      <c r="B50" t="s">
        <v>98</v>
      </c>
      <c r="C50">
        <v>12</v>
      </c>
      <c r="D50" s="1">
        <v>11.460993527912256</v>
      </c>
      <c r="E50" s="1">
        <v>0</v>
      </c>
      <c r="F50" s="1">
        <v>0</v>
      </c>
    </row>
    <row r="51" spans="1:6">
      <c r="A51">
        <v>203</v>
      </c>
      <c r="B51" t="s">
        <v>99</v>
      </c>
      <c r="C51">
        <v>12</v>
      </c>
      <c r="D51" s="1">
        <v>1.4014014014014013</v>
      </c>
      <c r="E51" s="1">
        <v>0</v>
      </c>
      <c r="F51" s="1">
        <v>0</v>
      </c>
    </row>
    <row r="52" spans="1:6">
      <c r="A52">
        <v>204</v>
      </c>
      <c r="B52" t="s">
        <v>100</v>
      </c>
      <c r="C52">
        <v>8</v>
      </c>
      <c r="D52" s="1">
        <v>26.799999999999997</v>
      </c>
      <c r="E52" s="1">
        <v>21.440270776057503</v>
      </c>
      <c r="F52" s="1">
        <v>6.756516504117883</v>
      </c>
    </row>
    <row r="53" spans="1:6">
      <c r="A53">
        <v>208</v>
      </c>
      <c r="B53" t="s">
        <v>101</v>
      </c>
      <c r="C53">
        <v>11</v>
      </c>
      <c r="D53" s="1">
        <v>0</v>
      </c>
      <c r="E53" s="1">
        <v>0</v>
      </c>
      <c r="F53" s="1">
        <v>0</v>
      </c>
    </row>
    <row r="54" spans="1:6">
      <c r="A54">
        <v>212</v>
      </c>
      <c r="B54" t="s">
        <v>102</v>
      </c>
      <c r="C54">
        <v>4</v>
      </c>
      <c r="D54" s="1">
        <v>13</v>
      </c>
      <c r="E54" s="1">
        <v>2.7098184842324571</v>
      </c>
      <c r="F54" s="1">
        <v>0</v>
      </c>
    </row>
    <row r="55" spans="1:6">
      <c r="A55">
        <v>214</v>
      </c>
      <c r="B55" t="s">
        <v>103</v>
      </c>
      <c r="C55">
        <v>4</v>
      </c>
      <c r="D55" s="1">
        <v>24.5</v>
      </c>
      <c r="E55" s="1">
        <v>0</v>
      </c>
      <c r="F55" s="1">
        <v>0</v>
      </c>
    </row>
    <row r="56" spans="1:6">
      <c r="A56">
        <v>218</v>
      </c>
      <c r="B56" t="s">
        <v>104</v>
      </c>
      <c r="C56">
        <v>6</v>
      </c>
      <c r="D56" s="1">
        <v>12.1</v>
      </c>
      <c r="E56" s="1">
        <v>0</v>
      </c>
      <c r="F56" s="1">
        <v>0</v>
      </c>
    </row>
    <row r="57" spans="1:6">
      <c r="A57">
        <v>222</v>
      </c>
      <c r="B57" t="s">
        <v>105</v>
      </c>
      <c r="C57">
        <v>4</v>
      </c>
      <c r="D57" s="1">
        <v>42.957042957042958</v>
      </c>
      <c r="E57" s="1">
        <v>26.195355886055879</v>
      </c>
      <c r="F57" s="1">
        <v>0</v>
      </c>
    </row>
    <row r="58" spans="1:6">
      <c r="A58">
        <v>226</v>
      </c>
      <c r="B58" t="s">
        <v>106</v>
      </c>
      <c r="C58">
        <v>8</v>
      </c>
      <c r="D58" s="1">
        <v>56.800000000000011</v>
      </c>
      <c r="E58" s="1">
        <v>59.630895788155264</v>
      </c>
      <c r="F58" s="1">
        <v>55.679698804658997</v>
      </c>
    </row>
    <row r="59" spans="1:6">
      <c r="A59">
        <v>231</v>
      </c>
      <c r="B59" t="s">
        <v>107</v>
      </c>
      <c r="C59">
        <v>9</v>
      </c>
      <c r="D59" s="1">
        <v>8.8999999999999986</v>
      </c>
      <c r="E59" s="1">
        <v>0</v>
      </c>
      <c r="F59" s="1">
        <v>0</v>
      </c>
    </row>
    <row r="60" spans="1:6">
      <c r="A60">
        <v>232</v>
      </c>
      <c r="B60" t="s">
        <v>108</v>
      </c>
      <c r="C60">
        <v>9</v>
      </c>
      <c r="D60" s="1">
        <v>12.000000000000002</v>
      </c>
      <c r="E60" s="1">
        <v>2.5946045933877429</v>
      </c>
      <c r="F60" s="1">
        <v>0</v>
      </c>
    </row>
    <row r="61" spans="1:6">
      <c r="A61">
        <v>233</v>
      </c>
      <c r="B61" t="s">
        <v>109</v>
      </c>
      <c r="C61">
        <v>12</v>
      </c>
      <c r="D61" s="1">
        <v>10.9</v>
      </c>
      <c r="E61" s="1">
        <v>0</v>
      </c>
      <c r="F61" s="1">
        <v>0</v>
      </c>
    </row>
    <row r="62" spans="1:6">
      <c r="A62">
        <v>234</v>
      </c>
      <c r="B62" t="s">
        <v>110</v>
      </c>
      <c r="C62">
        <v>11</v>
      </c>
      <c r="D62" s="1">
        <v>1.6038691806831995</v>
      </c>
      <c r="E62" s="1">
        <v>0</v>
      </c>
      <c r="F62" s="1">
        <v>0</v>
      </c>
    </row>
    <row r="63" spans="1:6">
      <c r="A63">
        <v>238</v>
      </c>
      <c r="B63" t="s">
        <v>111</v>
      </c>
      <c r="C63">
        <v>6</v>
      </c>
      <c r="D63" s="1">
        <v>8.9162745761702347</v>
      </c>
      <c r="E63" s="1">
        <v>0</v>
      </c>
      <c r="F63" s="1">
        <v>0</v>
      </c>
    </row>
    <row r="64" spans="1:6">
      <c r="A64">
        <v>242</v>
      </c>
      <c r="B64" t="s">
        <v>112</v>
      </c>
      <c r="C64">
        <v>24</v>
      </c>
      <c r="D64" s="1">
        <v>1.3194555424349135</v>
      </c>
      <c r="E64" s="1">
        <v>0</v>
      </c>
      <c r="F64" s="1">
        <v>0</v>
      </c>
    </row>
    <row r="65" spans="1:6">
      <c r="A65">
        <v>246</v>
      </c>
      <c r="B65" t="s">
        <v>113</v>
      </c>
      <c r="C65">
        <v>11</v>
      </c>
      <c r="D65" s="1">
        <v>15.484515484515484</v>
      </c>
      <c r="E65" s="1">
        <v>3.3541390747689661</v>
      </c>
      <c r="F65" s="1">
        <v>0</v>
      </c>
    </row>
    <row r="66" spans="1:6">
      <c r="A66">
        <v>250</v>
      </c>
      <c r="B66" t="s">
        <v>114</v>
      </c>
      <c r="C66">
        <v>11</v>
      </c>
      <c r="D66" s="1">
        <v>0.7</v>
      </c>
      <c r="E66" s="1">
        <v>0</v>
      </c>
      <c r="F66" s="1">
        <v>0</v>
      </c>
    </row>
    <row r="67" spans="1:6">
      <c r="A67">
        <v>254</v>
      </c>
      <c r="B67" t="s">
        <v>115</v>
      </c>
      <c r="C67">
        <v>6</v>
      </c>
      <c r="D67" s="1">
        <v>10.7</v>
      </c>
      <c r="E67" s="1">
        <v>0</v>
      </c>
      <c r="F67" s="1">
        <v>0</v>
      </c>
    </row>
    <row r="68" spans="1:6">
      <c r="A68">
        <v>262</v>
      </c>
      <c r="B68" t="s">
        <v>116</v>
      </c>
      <c r="C68">
        <v>9</v>
      </c>
      <c r="D68" s="1">
        <v>26.324132975172482</v>
      </c>
      <c r="E68" s="1">
        <v>17.702812047622963</v>
      </c>
      <c r="F68" s="1">
        <v>2.7015271806204311</v>
      </c>
    </row>
    <row r="69" spans="1:6">
      <c r="A69">
        <v>266</v>
      </c>
      <c r="B69" t="s">
        <v>117</v>
      </c>
      <c r="C69">
        <v>8</v>
      </c>
      <c r="D69" s="1">
        <v>43.056943056943062</v>
      </c>
      <c r="E69" s="1">
        <v>39.871666449017575</v>
      </c>
      <c r="F69" s="1">
        <v>34.820496782177067</v>
      </c>
    </row>
    <row r="70" spans="1:6">
      <c r="A70">
        <v>268</v>
      </c>
      <c r="B70" t="s">
        <v>118</v>
      </c>
      <c r="C70">
        <v>16</v>
      </c>
      <c r="D70" s="1">
        <v>40.799999999999997</v>
      </c>
      <c r="E70" s="1">
        <v>22.787467195827773</v>
      </c>
      <c r="F70" s="1">
        <v>3.505242999593591</v>
      </c>
    </row>
    <row r="71" spans="1:6">
      <c r="A71">
        <v>270</v>
      </c>
      <c r="B71" t="s">
        <v>119</v>
      </c>
      <c r="C71">
        <v>8</v>
      </c>
      <c r="D71" s="1">
        <v>54.845154845154845</v>
      </c>
      <c r="E71" s="1">
        <v>37.767288641112579</v>
      </c>
      <c r="F71" s="1">
        <v>14.65622663249232</v>
      </c>
    </row>
    <row r="72" spans="1:6">
      <c r="A72">
        <v>276</v>
      </c>
      <c r="B72" t="s">
        <v>120</v>
      </c>
      <c r="C72">
        <v>11</v>
      </c>
      <c r="D72" s="1">
        <v>0</v>
      </c>
      <c r="E72" s="1">
        <v>0</v>
      </c>
      <c r="F72" s="1">
        <v>0</v>
      </c>
    </row>
    <row r="73" spans="1:6">
      <c r="A73">
        <v>288</v>
      </c>
      <c r="B73" t="s">
        <v>121</v>
      </c>
      <c r="C73">
        <v>8</v>
      </c>
      <c r="D73" s="1">
        <v>49.349349349349346</v>
      </c>
      <c r="E73" s="1">
        <v>39.867501098200748</v>
      </c>
      <c r="F73" s="1">
        <v>12.428083428484925</v>
      </c>
    </row>
    <row r="74" spans="1:6">
      <c r="A74">
        <v>300</v>
      </c>
      <c r="B74" t="s">
        <v>122</v>
      </c>
      <c r="C74">
        <v>11</v>
      </c>
      <c r="D74" s="1">
        <v>0.3</v>
      </c>
      <c r="E74" s="1">
        <v>0</v>
      </c>
      <c r="F74" s="1">
        <v>0</v>
      </c>
    </row>
    <row r="75" spans="1:6">
      <c r="A75">
        <v>304</v>
      </c>
      <c r="B75" t="s">
        <v>123</v>
      </c>
      <c r="C75">
        <v>27</v>
      </c>
      <c r="D75" s="1">
        <v>0</v>
      </c>
      <c r="E75" s="1">
        <v>0</v>
      </c>
      <c r="F75" s="1">
        <v>0</v>
      </c>
    </row>
    <row r="76" spans="1:6">
      <c r="A76">
        <v>308</v>
      </c>
      <c r="B76" t="s">
        <v>124</v>
      </c>
      <c r="C76">
        <v>4</v>
      </c>
      <c r="D76" s="1">
        <v>32.267732267732264</v>
      </c>
      <c r="E76" s="1">
        <v>8.576052444342821</v>
      </c>
      <c r="F76" s="1">
        <v>0</v>
      </c>
    </row>
    <row r="77" spans="1:6">
      <c r="A77">
        <v>312</v>
      </c>
      <c r="B77" t="s">
        <v>125</v>
      </c>
      <c r="C77">
        <v>4</v>
      </c>
      <c r="D77" s="1">
        <v>15.315315315315315</v>
      </c>
      <c r="E77" s="1">
        <v>0</v>
      </c>
      <c r="F77" s="1">
        <v>0</v>
      </c>
    </row>
    <row r="78" spans="1:6">
      <c r="A78">
        <v>320</v>
      </c>
      <c r="B78" t="s">
        <v>126</v>
      </c>
      <c r="C78">
        <v>4</v>
      </c>
      <c r="D78" s="1">
        <v>24.1</v>
      </c>
      <c r="E78" s="1">
        <v>13.015395810053306</v>
      </c>
      <c r="F78" s="1">
        <v>0</v>
      </c>
    </row>
    <row r="79" spans="1:6">
      <c r="A79">
        <v>324</v>
      </c>
      <c r="B79" t="s">
        <v>127</v>
      </c>
      <c r="C79">
        <v>8</v>
      </c>
      <c r="D79" s="1">
        <v>32.299999999999997</v>
      </c>
      <c r="E79" s="1">
        <v>23.639448140409378</v>
      </c>
      <c r="F79" s="1">
        <v>5.7856668761130834</v>
      </c>
    </row>
    <row r="80" spans="1:6">
      <c r="A80">
        <v>328</v>
      </c>
      <c r="B80" t="s">
        <v>128</v>
      </c>
      <c r="C80">
        <v>6</v>
      </c>
      <c r="D80" s="1">
        <v>35.964035964035965</v>
      </c>
      <c r="E80" s="1">
        <v>17.439562318844452</v>
      </c>
      <c r="F80" s="1">
        <v>0</v>
      </c>
    </row>
    <row r="81" spans="1:6">
      <c r="A81">
        <v>332</v>
      </c>
      <c r="B81" t="s">
        <v>129</v>
      </c>
      <c r="C81">
        <v>4</v>
      </c>
      <c r="D81" s="1">
        <v>42.442442442442442</v>
      </c>
      <c r="E81" s="1">
        <v>32.808320372121038</v>
      </c>
      <c r="F81" s="1">
        <v>0</v>
      </c>
    </row>
    <row r="82" spans="1:6">
      <c r="A82">
        <v>340</v>
      </c>
      <c r="B82" t="s">
        <v>130</v>
      </c>
      <c r="C82">
        <v>4</v>
      </c>
      <c r="D82" s="1">
        <v>25.6</v>
      </c>
      <c r="E82" s="1">
        <v>2.7697244814663549</v>
      </c>
      <c r="F82" s="1">
        <v>0</v>
      </c>
    </row>
    <row r="83" spans="1:6">
      <c r="A83">
        <v>344</v>
      </c>
      <c r="B83" t="s">
        <v>131</v>
      </c>
      <c r="C83">
        <v>20</v>
      </c>
      <c r="D83" s="1">
        <v>0</v>
      </c>
      <c r="E83" s="1">
        <v>0</v>
      </c>
      <c r="F83" s="1">
        <v>0</v>
      </c>
    </row>
    <row r="84" spans="1:6">
      <c r="A84">
        <v>348</v>
      </c>
      <c r="B84" t="s">
        <v>132</v>
      </c>
      <c r="C84">
        <v>12</v>
      </c>
      <c r="D84" s="1">
        <v>13</v>
      </c>
      <c r="E84" s="1">
        <v>0</v>
      </c>
      <c r="F84" s="1">
        <v>0</v>
      </c>
    </row>
    <row r="85" spans="1:6">
      <c r="A85">
        <v>352</v>
      </c>
      <c r="B85" t="s">
        <v>133</v>
      </c>
      <c r="C85">
        <v>11</v>
      </c>
      <c r="D85" s="1">
        <v>0.6</v>
      </c>
      <c r="E85" s="1">
        <v>0</v>
      </c>
      <c r="F85" s="1">
        <v>0</v>
      </c>
    </row>
    <row r="86" spans="1:6">
      <c r="A86">
        <v>356</v>
      </c>
      <c r="B86" t="s">
        <v>134</v>
      </c>
      <c r="C86">
        <v>18</v>
      </c>
      <c r="D86" s="1">
        <v>18.3</v>
      </c>
      <c r="E86" s="1">
        <v>14.90730999934766</v>
      </c>
      <c r="F86" s="1">
        <v>0</v>
      </c>
    </row>
    <row r="87" spans="1:6">
      <c r="A87">
        <v>360</v>
      </c>
      <c r="B87" t="s">
        <v>135</v>
      </c>
      <c r="C87">
        <v>22</v>
      </c>
      <c r="D87" s="1">
        <v>4.7047047047047048</v>
      </c>
      <c r="E87" s="1">
        <v>0</v>
      </c>
      <c r="F87" s="1">
        <v>0</v>
      </c>
    </row>
    <row r="88" spans="1:6">
      <c r="A88">
        <v>364</v>
      </c>
      <c r="B88" t="s">
        <v>136</v>
      </c>
      <c r="C88">
        <v>17</v>
      </c>
      <c r="D88" s="1">
        <v>70.5</v>
      </c>
      <c r="E88" s="1">
        <v>59.635143723643566</v>
      </c>
      <c r="F88" s="1">
        <v>44.574085369443239</v>
      </c>
    </row>
    <row r="89" spans="1:6">
      <c r="A89">
        <v>368</v>
      </c>
      <c r="B89" t="s">
        <v>137</v>
      </c>
      <c r="C89">
        <v>17</v>
      </c>
      <c r="D89" s="1">
        <v>18.918918918918916</v>
      </c>
      <c r="E89" s="1">
        <v>1.8548802771179709</v>
      </c>
      <c r="F89" s="1">
        <v>0</v>
      </c>
    </row>
    <row r="90" spans="1:6">
      <c r="A90">
        <v>372</v>
      </c>
      <c r="B90" t="s">
        <v>138</v>
      </c>
      <c r="C90">
        <v>11</v>
      </c>
      <c r="D90" s="1">
        <v>3.8038038038038038</v>
      </c>
      <c r="E90" s="1">
        <v>0</v>
      </c>
      <c r="F90" s="1">
        <v>0</v>
      </c>
    </row>
    <row r="91" spans="1:6">
      <c r="A91">
        <v>376</v>
      </c>
      <c r="B91" t="s">
        <v>139</v>
      </c>
      <c r="C91">
        <v>17</v>
      </c>
      <c r="D91" s="1">
        <v>0</v>
      </c>
      <c r="E91" s="1">
        <v>0</v>
      </c>
      <c r="F91" s="1">
        <v>0</v>
      </c>
    </row>
    <row r="92" spans="1:6">
      <c r="A92">
        <v>380</v>
      </c>
      <c r="B92" t="s">
        <v>140</v>
      </c>
      <c r="C92">
        <v>11</v>
      </c>
      <c r="D92" s="1">
        <v>5.205205205205206</v>
      </c>
      <c r="E92" s="1">
        <v>0</v>
      </c>
      <c r="F92" s="1">
        <v>0</v>
      </c>
    </row>
    <row r="93" spans="1:6">
      <c r="A93">
        <v>384</v>
      </c>
      <c r="B93" t="s">
        <v>141</v>
      </c>
      <c r="C93">
        <v>8</v>
      </c>
      <c r="D93" s="1">
        <v>29.2</v>
      </c>
      <c r="E93" s="1">
        <v>17.749939195945672</v>
      </c>
      <c r="F93" s="1">
        <v>3.7522122190130318</v>
      </c>
    </row>
    <row r="94" spans="1:6">
      <c r="A94">
        <v>388</v>
      </c>
      <c r="B94" t="s">
        <v>142</v>
      </c>
      <c r="C94">
        <v>4</v>
      </c>
      <c r="D94" s="1">
        <v>49.2</v>
      </c>
      <c r="E94" s="1">
        <v>40.148678331618392</v>
      </c>
      <c r="F94" s="1">
        <v>11.921756694742868</v>
      </c>
    </row>
    <row r="95" spans="1:6">
      <c r="A95">
        <v>392</v>
      </c>
      <c r="B95" t="s">
        <v>143</v>
      </c>
      <c r="C95">
        <v>23</v>
      </c>
      <c r="D95" s="1">
        <v>8.5914085914085927</v>
      </c>
      <c r="E95" s="1">
        <v>0</v>
      </c>
      <c r="F95" s="1">
        <v>0</v>
      </c>
    </row>
    <row r="96" spans="1:6">
      <c r="A96">
        <v>398</v>
      </c>
      <c r="B96" t="s">
        <v>144</v>
      </c>
      <c r="C96">
        <v>15</v>
      </c>
      <c r="D96" s="1">
        <v>53.2</v>
      </c>
      <c r="E96" s="1">
        <v>33.289408542644821</v>
      </c>
      <c r="F96" s="1">
        <v>20.342928172261566</v>
      </c>
    </row>
    <row r="97" spans="1:6">
      <c r="A97">
        <v>400</v>
      </c>
      <c r="B97" t="s">
        <v>145</v>
      </c>
      <c r="C97">
        <v>17</v>
      </c>
      <c r="D97" s="1">
        <v>0.3</v>
      </c>
      <c r="E97" s="1">
        <v>0</v>
      </c>
      <c r="F97" s="1">
        <v>0</v>
      </c>
    </row>
    <row r="98" spans="1:6">
      <c r="A98">
        <v>404</v>
      </c>
      <c r="B98" t="s">
        <v>146</v>
      </c>
      <c r="C98">
        <v>9</v>
      </c>
      <c r="D98" s="1">
        <v>41.958041958041953</v>
      </c>
      <c r="E98" s="1">
        <v>31.956288898631811</v>
      </c>
      <c r="F98" s="1">
        <v>3.8027149054360052</v>
      </c>
    </row>
    <row r="99" spans="1:6">
      <c r="A99">
        <v>408</v>
      </c>
      <c r="B99" t="s">
        <v>147</v>
      </c>
      <c r="C99">
        <v>19</v>
      </c>
      <c r="D99" s="1">
        <v>20.379620379620377</v>
      </c>
      <c r="E99" s="1">
        <v>21.896043006920522</v>
      </c>
      <c r="F99" s="1">
        <v>9.4424835604743294</v>
      </c>
    </row>
    <row r="100" spans="1:6">
      <c r="A100">
        <v>410</v>
      </c>
      <c r="B100" t="s">
        <v>148</v>
      </c>
      <c r="C100">
        <v>19</v>
      </c>
      <c r="D100" s="1">
        <v>1.8</v>
      </c>
      <c r="E100" s="1">
        <v>0</v>
      </c>
      <c r="F100" s="1">
        <v>0</v>
      </c>
    </row>
    <row r="101" spans="1:6">
      <c r="A101">
        <v>414</v>
      </c>
      <c r="B101" t="s">
        <v>149</v>
      </c>
      <c r="C101">
        <v>17</v>
      </c>
      <c r="D101" s="1">
        <v>0</v>
      </c>
      <c r="E101" s="1">
        <v>0</v>
      </c>
      <c r="F101" s="1">
        <v>0</v>
      </c>
    </row>
    <row r="102" spans="1:6">
      <c r="A102">
        <v>417</v>
      </c>
      <c r="B102" t="s">
        <v>150</v>
      </c>
      <c r="C102">
        <v>15</v>
      </c>
      <c r="D102" s="1">
        <v>81.5</v>
      </c>
      <c r="E102" s="1">
        <v>50.326918656525528</v>
      </c>
      <c r="F102" s="1">
        <v>16.191754765191263</v>
      </c>
    </row>
    <row r="103" spans="1:6">
      <c r="A103">
        <v>418</v>
      </c>
      <c r="B103" t="s">
        <v>151</v>
      </c>
      <c r="C103">
        <v>21</v>
      </c>
      <c r="D103" s="1">
        <v>18.925252816164075</v>
      </c>
      <c r="E103" s="1">
        <v>0</v>
      </c>
      <c r="F103" s="1">
        <v>0</v>
      </c>
    </row>
    <row r="104" spans="1:6">
      <c r="A104">
        <v>422</v>
      </c>
      <c r="B104" t="s">
        <v>152</v>
      </c>
      <c r="C104">
        <v>17</v>
      </c>
      <c r="D104" s="1">
        <v>16.2</v>
      </c>
      <c r="E104" s="1">
        <v>10.000348285083945</v>
      </c>
      <c r="F104" s="1">
        <v>0</v>
      </c>
    </row>
    <row r="105" spans="1:6">
      <c r="A105">
        <v>426</v>
      </c>
      <c r="B105" t="s">
        <v>153</v>
      </c>
      <c r="C105">
        <v>26</v>
      </c>
      <c r="D105" s="1">
        <v>39.999999999999993</v>
      </c>
      <c r="E105" s="1">
        <v>47.831436630610177</v>
      </c>
      <c r="F105" s="1">
        <v>35.611731495515841</v>
      </c>
    </row>
    <row r="106" spans="1:6">
      <c r="A106">
        <v>428</v>
      </c>
      <c r="B106" t="s">
        <v>154</v>
      </c>
      <c r="C106">
        <v>12</v>
      </c>
      <c r="D106" s="1">
        <v>2.7</v>
      </c>
      <c r="E106" s="1">
        <v>0</v>
      </c>
      <c r="F106" s="1">
        <v>0</v>
      </c>
    </row>
    <row r="107" spans="1:6">
      <c r="A107">
        <v>430</v>
      </c>
      <c r="B107" t="s">
        <v>155</v>
      </c>
      <c r="C107">
        <v>8</v>
      </c>
      <c r="D107" s="1">
        <v>23.723723723723722</v>
      </c>
      <c r="E107" s="1">
        <v>8.3064571230557931</v>
      </c>
      <c r="F107" s="1">
        <v>0</v>
      </c>
    </row>
    <row r="108" spans="1:6">
      <c r="A108">
        <v>434</v>
      </c>
      <c r="B108" t="s">
        <v>156</v>
      </c>
      <c r="C108">
        <v>7</v>
      </c>
      <c r="D108" s="1">
        <v>25.574425574425575</v>
      </c>
      <c r="E108" s="1">
        <v>2.3061775038442391</v>
      </c>
      <c r="F108" s="1">
        <v>0</v>
      </c>
    </row>
    <row r="109" spans="1:6">
      <c r="A109">
        <v>438</v>
      </c>
      <c r="B109" t="s">
        <v>157</v>
      </c>
      <c r="C109">
        <v>11</v>
      </c>
      <c r="D109" s="1">
        <v>0</v>
      </c>
      <c r="E109" s="1">
        <v>0</v>
      </c>
      <c r="F109" s="1">
        <v>0</v>
      </c>
    </row>
    <row r="110" spans="1:6">
      <c r="A110">
        <v>440</v>
      </c>
      <c r="B110" t="s">
        <v>158</v>
      </c>
      <c r="C110">
        <v>12</v>
      </c>
      <c r="D110" s="1">
        <v>2.3023023023023019</v>
      </c>
      <c r="E110" s="1">
        <v>0</v>
      </c>
      <c r="F110" s="1">
        <v>0</v>
      </c>
    </row>
    <row r="111" spans="1:6">
      <c r="A111">
        <v>442</v>
      </c>
      <c r="B111" t="s">
        <v>159</v>
      </c>
      <c r="C111">
        <v>11</v>
      </c>
      <c r="D111" s="1">
        <v>0</v>
      </c>
      <c r="E111" s="1">
        <v>0</v>
      </c>
      <c r="F111" s="1">
        <v>0</v>
      </c>
    </row>
    <row r="112" spans="1:6">
      <c r="A112">
        <v>450</v>
      </c>
      <c r="B112" t="s">
        <v>160</v>
      </c>
      <c r="C112">
        <v>9</v>
      </c>
      <c r="D112" s="1">
        <v>14.799999999999997</v>
      </c>
      <c r="E112" s="1">
        <v>5.6040999201905137</v>
      </c>
      <c r="F112" s="1">
        <v>0</v>
      </c>
    </row>
    <row r="113" spans="1:6">
      <c r="A113">
        <v>454</v>
      </c>
      <c r="B113" t="s">
        <v>161</v>
      </c>
      <c r="C113">
        <v>26</v>
      </c>
      <c r="D113" s="1">
        <v>31.9</v>
      </c>
      <c r="E113" s="1">
        <v>22.100555267238782</v>
      </c>
      <c r="F113" s="1">
        <v>0</v>
      </c>
    </row>
    <row r="114" spans="1:6">
      <c r="A114">
        <v>458</v>
      </c>
      <c r="B114" t="s">
        <v>162</v>
      </c>
      <c r="C114">
        <v>21</v>
      </c>
      <c r="D114" s="1">
        <v>5.2052052052052051</v>
      </c>
      <c r="E114" s="1">
        <v>0</v>
      </c>
      <c r="F114" s="1">
        <v>0</v>
      </c>
    </row>
    <row r="115" spans="1:6">
      <c r="A115">
        <v>466</v>
      </c>
      <c r="B115" t="s">
        <v>163</v>
      </c>
      <c r="C115">
        <v>8</v>
      </c>
      <c r="D115" s="1">
        <v>40.54054054054054</v>
      </c>
      <c r="E115" s="1">
        <v>35.894175371829782</v>
      </c>
      <c r="F115" s="1">
        <v>8.1234931261454051</v>
      </c>
    </row>
    <row r="116" spans="1:6">
      <c r="A116">
        <v>470</v>
      </c>
      <c r="B116" t="s">
        <v>164</v>
      </c>
      <c r="C116">
        <v>12</v>
      </c>
      <c r="D116" s="1">
        <v>0</v>
      </c>
      <c r="E116" s="1">
        <v>0</v>
      </c>
      <c r="F116" s="1">
        <v>0</v>
      </c>
    </row>
    <row r="117" spans="1:6">
      <c r="A117">
        <v>474</v>
      </c>
      <c r="B117" t="s">
        <v>165</v>
      </c>
      <c r="C117">
        <v>4</v>
      </c>
      <c r="D117" s="1">
        <v>2.9970029970029972</v>
      </c>
      <c r="E117" s="1">
        <v>0</v>
      </c>
      <c r="F117" s="1">
        <v>0</v>
      </c>
    </row>
    <row r="118" spans="1:6">
      <c r="A118">
        <v>478</v>
      </c>
      <c r="B118" t="s">
        <v>166</v>
      </c>
      <c r="C118">
        <v>8</v>
      </c>
      <c r="D118" s="1">
        <v>27.672327672327675</v>
      </c>
      <c r="E118" s="1">
        <v>29.118961987168305</v>
      </c>
      <c r="F118" s="1">
        <v>18.771954641521106</v>
      </c>
    </row>
    <row r="119" spans="1:6">
      <c r="A119">
        <v>480</v>
      </c>
      <c r="B119" t="s">
        <v>167</v>
      </c>
      <c r="C119">
        <v>9</v>
      </c>
      <c r="D119" s="1">
        <v>70</v>
      </c>
      <c r="E119" s="1">
        <v>58.645712781201041</v>
      </c>
      <c r="F119" s="1">
        <v>35.420515110558142</v>
      </c>
    </row>
    <row r="120" spans="1:6">
      <c r="A120">
        <v>484</v>
      </c>
      <c r="B120" t="s">
        <v>168</v>
      </c>
      <c r="C120">
        <v>3</v>
      </c>
      <c r="D120" s="1">
        <v>4.1041041041041035</v>
      </c>
      <c r="E120" s="1">
        <v>0</v>
      </c>
      <c r="F120" s="1">
        <v>0</v>
      </c>
    </row>
    <row r="121" spans="1:6">
      <c r="A121">
        <v>496</v>
      </c>
      <c r="B121" t="s">
        <v>169</v>
      </c>
      <c r="C121">
        <v>20</v>
      </c>
      <c r="D121" s="1">
        <v>60.8</v>
      </c>
      <c r="E121" s="1">
        <v>32.872664966136767</v>
      </c>
      <c r="F121" s="1">
        <v>0</v>
      </c>
    </row>
    <row r="122" spans="1:6">
      <c r="A122">
        <v>498</v>
      </c>
      <c r="B122" t="s">
        <v>170</v>
      </c>
      <c r="C122">
        <v>14</v>
      </c>
      <c r="D122" s="1">
        <v>41</v>
      </c>
      <c r="E122" s="1">
        <v>26.798267714224735</v>
      </c>
      <c r="F122" s="1">
        <v>8.6733994655351552</v>
      </c>
    </row>
    <row r="123" spans="1:6">
      <c r="A123">
        <v>500</v>
      </c>
      <c r="B123" t="s">
        <v>171</v>
      </c>
      <c r="C123">
        <v>4</v>
      </c>
      <c r="D123" s="1">
        <v>26.745006717042642</v>
      </c>
      <c r="E123" s="1">
        <v>13.894926574782389</v>
      </c>
      <c r="F123" s="1">
        <v>0</v>
      </c>
    </row>
    <row r="124" spans="1:6">
      <c r="A124">
        <v>504</v>
      </c>
      <c r="B124" t="s">
        <v>172</v>
      </c>
      <c r="C124">
        <v>7</v>
      </c>
      <c r="D124" s="1">
        <v>13.9</v>
      </c>
      <c r="E124" s="1">
        <v>0</v>
      </c>
      <c r="F124" s="1">
        <v>0</v>
      </c>
    </row>
    <row r="125" spans="1:6">
      <c r="A125">
        <v>508</v>
      </c>
      <c r="B125" t="s">
        <v>173</v>
      </c>
      <c r="C125">
        <v>26</v>
      </c>
      <c r="D125" s="1">
        <v>19</v>
      </c>
      <c r="E125" s="1">
        <v>14.076880123684759</v>
      </c>
      <c r="F125" s="1">
        <v>0</v>
      </c>
    </row>
    <row r="126" spans="1:6">
      <c r="A126">
        <v>512</v>
      </c>
      <c r="B126" t="s">
        <v>174</v>
      </c>
      <c r="C126">
        <v>17</v>
      </c>
      <c r="D126" s="1">
        <v>1.9</v>
      </c>
      <c r="E126" s="1">
        <v>0</v>
      </c>
      <c r="F126" s="1">
        <v>0</v>
      </c>
    </row>
    <row r="127" spans="1:6">
      <c r="A127">
        <v>516</v>
      </c>
      <c r="B127" t="s">
        <v>175</v>
      </c>
      <c r="C127">
        <v>26</v>
      </c>
      <c r="D127" s="1">
        <v>9.0909090909090917</v>
      </c>
      <c r="E127" s="1">
        <v>6.2412927980914432</v>
      </c>
      <c r="F127" s="1">
        <v>0.75156336646608679</v>
      </c>
    </row>
    <row r="128" spans="1:6">
      <c r="A128">
        <v>524</v>
      </c>
      <c r="B128" t="s">
        <v>176</v>
      </c>
      <c r="C128">
        <v>25</v>
      </c>
      <c r="D128" s="1">
        <v>17.7</v>
      </c>
      <c r="E128" s="1">
        <v>9.6473412743987552</v>
      </c>
      <c r="F128" s="1">
        <v>0</v>
      </c>
    </row>
    <row r="129" spans="1:6">
      <c r="A129">
        <v>528</v>
      </c>
      <c r="B129" t="s">
        <v>177</v>
      </c>
      <c r="C129">
        <v>11</v>
      </c>
      <c r="D129" s="1">
        <v>0</v>
      </c>
      <c r="E129" s="1">
        <v>0</v>
      </c>
      <c r="F129" s="1">
        <v>0</v>
      </c>
    </row>
    <row r="130" spans="1:6">
      <c r="A130">
        <v>530</v>
      </c>
      <c r="B130" t="s">
        <v>178</v>
      </c>
      <c r="C130">
        <v>4</v>
      </c>
      <c r="D130" s="1">
        <v>26.745006717042642</v>
      </c>
      <c r="E130" s="1">
        <v>13.844198493354625</v>
      </c>
      <c r="F130" s="1">
        <v>0</v>
      </c>
    </row>
    <row r="131" spans="1:6">
      <c r="A131">
        <v>533</v>
      </c>
      <c r="B131" t="s">
        <v>179</v>
      </c>
      <c r="C131">
        <v>4</v>
      </c>
      <c r="D131" s="1">
        <v>26.745006717042642</v>
      </c>
      <c r="E131" s="1">
        <v>2.1013976000255781</v>
      </c>
      <c r="F131" s="1">
        <v>0</v>
      </c>
    </row>
    <row r="132" spans="1:6">
      <c r="A132">
        <v>540</v>
      </c>
      <c r="B132" t="s">
        <v>180</v>
      </c>
      <c r="C132">
        <v>24</v>
      </c>
      <c r="D132" s="1">
        <v>1.40255299852676</v>
      </c>
      <c r="E132" s="1">
        <v>0</v>
      </c>
      <c r="F132" s="1">
        <v>0</v>
      </c>
    </row>
    <row r="133" spans="1:6">
      <c r="A133">
        <v>548</v>
      </c>
      <c r="B133" t="s">
        <v>181</v>
      </c>
      <c r="C133">
        <v>24</v>
      </c>
      <c r="D133" s="1">
        <v>40.759240759240754</v>
      </c>
      <c r="E133" s="1">
        <v>28.25418043522567</v>
      </c>
      <c r="F133" s="1">
        <v>0</v>
      </c>
    </row>
    <row r="134" spans="1:6">
      <c r="A134">
        <v>554</v>
      </c>
      <c r="B134" t="s">
        <v>182</v>
      </c>
      <c r="C134">
        <v>24</v>
      </c>
      <c r="D134" s="1">
        <v>4.9000000000000004</v>
      </c>
      <c r="E134" s="1">
        <v>0</v>
      </c>
      <c r="F134" s="1">
        <v>0</v>
      </c>
    </row>
    <row r="135" spans="1:6">
      <c r="A135">
        <v>558</v>
      </c>
      <c r="B135" t="s">
        <v>183</v>
      </c>
      <c r="C135">
        <v>4</v>
      </c>
      <c r="D135" s="1">
        <v>44.5</v>
      </c>
      <c r="E135" s="1">
        <v>29.158080475147869</v>
      </c>
      <c r="F135" s="1">
        <v>0</v>
      </c>
    </row>
    <row r="136" spans="1:6">
      <c r="A136">
        <v>562</v>
      </c>
      <c r="B136" t="s">
        <v>184</v>
      </c>
      <c r="C136">
        <v>8</v>
      </c>
      <c r="D136" s="1">
        <v>14.3</v>
      </c>
      <c r="E136" s="1">
        <v>6.4513638625976952</v>
      </c>
      <c r="F136" s="1">
        <v>0</v>
      </c>
    </row>
    <row r="137" spans="1:6">
      <c r="A137">
        <v>566</v>
      </c>
      <c r="B137" t="s">
        <v>185</v>
      </c>
      <c r="C137">
        <v>8</v>
      </c>
      <c r="D137" s="1">
        <v>38.199999999999996</v>
      </c>
      <c r="E137" s="1">
        <v>24.449114588329657</v>
      </c>
      <c r="F137" s="1">
        <v>0</v>
      </c>
    </row>
    <row r="138" spans="1:6">
      <c r="A138">
        <v>578</v>
      </c>
      <c r="B138" t="s">
        <v>186</v>
      </c>
      <c r="C138">
        <v>11</v>
      </c>
      <c r="D138" s="1">
        <v>1.8981018981018982</v>
      </c>
      <c r="E138" s="1">
        <v>0</v>
      </c>
      <c r="F138" s="1">
        <v>0</v>
      </c>
    </row>
    <row r="139" spans="1:6">
      <c r="A139">
        <v>586</v>
      </c>
      <c r="B139" t="s">
        <v>187</v>
      </c>
      <c r="C139">
        <v>25</v>
      </c>
      <c r="D139" s="1">
        <v>5.6</v>
      </c>
      <c r="E139" s="1">
        <v>0.34613289701911754</v>
      </c>
      <c r="F139" s="1">
        <v>0</v>
      </c>
    </row>
    <row r="140" spans="1:6">
      <c r="A140">
        <v>591</v>
      </c>
      <c r="B140" t="s">
        <v>188</v>
      </c>
      <c r="C140">
        <v>4</v>
      </c>
      <c r="D140" s="1">
        <v>17.200000000000003</v>
      </c>
      <c r="E140" s="1">
        <v>1.5517548721523298</v>
      </c>
      <c r="F140" s="1">
        <v>0</v>
      </c>
    </row>
    <row r="141" spans="1:6">
      <c r="A141">
        <v>598</v>
      </c>
      <c r="B141" t="s">
        <v>189</v>
      </c>
      <c r="C141">
        <v>22</v>
      </c>
      <c r="D141" s="1">
        <v>11.899999999999999</v>
      </c>
      <c r="E141" s="1">
        <v>0</v>
      </c>
      <c r="F141" s="1">
        <v>0</v>
      </c>
    </row>
    <row r="142" spans="1:6">
      <c r="A142">
        <v>600</v>
      </c>
      <c r="B142" t="s">
        <v>190</v>
      </c>
      <c r="C142">
        <v>6</v>
      </c>
      <c r="D142" s="1">
        <v>36.336336336336331</v>
      </c>
      <c r="E142" s="1">
        <v>19.492314846970302</v>
      </c>
      <c r="F142" s="1">
        <v>0</v>
      </c>
    </row>
    <row r="143" spans="1:6">
      <c r="A143">
        <v>604</v>
      </c>
      <c r="B143" t="s">
        <v>191</v>
      </c>
      <c r="C143">
        <v>6</v>
      </c>
      <c r="D143" s="1">
        <v>6.2937062937062933</v>
      </c>
      <c r="E143" s="1">
        <v>1.9816982853851357</v>
      </c>
      <c r="F143" s="1">
        <v>0</v>
      </c>
    </row>
    <row r="144" spans="1:6">
      <c r="A144">
        <v>608</v>
      </c>
      <c r="B144" t="s">
        <v>192</v>
      </c>
      <c r="C144">
        <v>21</v>
      </c>
      <c r="D144" s="1">
        <v>10.910910910910912</v>
      </c>
      <c r="E144" s="1">
        <v>0</v>
      </c>
      <c r="F144" s="1">
        <v>0</v>
      </c>
    </row>
    <row r="145" spans="1:6">
      <c r="A145">
        <v>616</v>
      </c>
      <c r="B145" t="s">
        <v>193</v>
      </c>
      <c r="C145">
        <v>12</v>
      </c>
      <c r="D145" s="1">
        <v>4.8</v>
      </c>
      <c r="E145" s="1">
        <v>0</v>
      </c>
      <c r="F145" s="1">
        <v>0</v>
      </c>
    </row>
    <row r="146" spans="1:6">
      <c r="A146">
        <v>620</v>
      </c>
      <c r="B146" t="s">
        <v>194</v>
      </c>
      <c r="C146">
        <v>11</v>
      </c>
      <c r="D146" s="1">
        <v>5.2</v>
      </c>
      <c r="E146" s="1">
        <v>0</v>
      </c>
      <c r="F146" s="1">
        <v>0</v>
      </c>
    </row>
    <row r="147" spans="1:6">
      <c r="A147">
        <v>624</v>
      </c>
      <c r="B147" t="s">
        <v>195</v>
      </c>
      <c r="C147">
        <v>8</v>
      </c>
      <c r="D147" s="1">
        <v>17.7</v>
      </c>
      <c r="E147" s="1">
        <v>8.4328794875046356</v>
      </c>
      <c r="F147" s="1">
        <v>0</v>
      </c>
    </row>
    <row r="148" spans="1:6">
      <c r="A148">
        <v>626</v>
      </c>
      <c r="B148" t="s">
        <v>196</v>
      </c>
      <c r="C148">
        <v>22</v>
      </c>
      <c r="D148" s="1">
        <v>25.9</v>
      </c>
      <c r="E148" s="1">
        <v>18.910237640571012</v>
      </c>
      <c r="F148" s="1">
        <v>0</v>
      </c>
    </row>
    <row r="149" spans="1:6">
      <c r="A149">
        <v>630</v>
      </c>
      <c r="B149" t="s">
        <v>197</v>
      </c>
      <c r="C149">
        <v>4</v>
      </c>
      <c r="D149" s="1">
        <v>2.9</v>
      </c>
      <c r="E149" s="1">
        <v>0</v>
      </c>
      <c r="F149" s="1">
        <v>0</v>
      </c>
    </row>
    <row r="150" spans="1:6">
      <c r="A150">
        <v>634</v>
      </c>
      <c r="B150" t="s">
        <v>198</v>
      </c>
      <c r="C150">
        <v>17</v>
      </c>
      <c r="D150" s="1">
        <v>0</v>
      </c>
      <c r="E150" s="1">
        <v>0</v>
      </c>
      <c r="F150" s="1">
        <v>0</v>
      </c>
    </row>
    <row r="151" spans="1:6">
      <c r="A151">
        <v>638</v>
      </c>
      <c r="B151" t="s">
        <v>199</v>
      </c>
      <c r="C151">
        <v>9</v>
      </c>
      <c r="D151" s="1">
        <v>4.0999999999999996</v>
      </c>
      <c r="E151" s="1">
        <v>0</v>
      </c>
      <c r="F151" s="1">
        <v>0</v>
      </c>
    </row>
    <row r="152" spans="1:6">
      <c r="A152">
        <v>642</v>
      </c>
      <c r="B152" t="s">
        <v>200</v>
      </c>
      <c r="C152">
        <v>12</v>
      </c>
      <c r="D152" s="1">
        <v>41.3</v>
      </c>
      <c r="E152" s="1">
        <v>27.889974665413632</v>
      </c>
      <c r="F152" s="1">
        <v>11.758195046931149</v>
      </c>
    </row>
    <row r="153" spans="1:6">
      <c r="A153">
        <v>643</v>
      </c>
      <c r="B153" t="s">
        <v>201</v>
      </c>
      <c r="C153">
        <v>16</v>
      </c>
      <c r="D153" s="1">
        <v>10.199999999999999</v>
      </c>
      <c r="E153" s="1">
        <v>1.7220727552011965</v>
      </c>
      <c r="F153" s="1">
        <v>0</v>
      </c>
    </row>
    <row r="154" spans="1:6">
      <c r="A154">
        <v>646</v>
      </c>
      <c r="B154" t="s">
        <v>202</v>
      </c>
      <c r="C154">
        <v>9</v>
      </c>
      <c r="D154" s="1">
        <v>67.900000000000006</v>
      </c>
      <c r="E154" s="1">
        <v>59.513617421380609</v>
      </c>
      <c r="F154" s="1">
        <v>2.2588556741333434</v>
      </c>
    </row>
    <row r="155" spans="1:6">
      <c r="A155">
        <v>659</v>
      </c>
      <c r="B155" t="s">
        <v>203</v>
      </c>
      <c r="C155">
        <v>4</v>
      </c>
      <c r="D155" s="1">
        <v>0</v>
      </c>
      <c r="E155" s="1">
        <v>0</v>
      </c>
      <c r="F155" s="1">
        <v>0</v>
      </c>
    </row>
    <row r="156" spans="1:6">
      <c r="A156">
        <v>660</v>
      </c>
      <c r="B156" t="s">
        <v>204</v>
      </c>
      <c r="C156">
        <v>4</v>
      </c>
      <c r="D156" s="1">
        <v>26.745006717042642</v>
      </c>
      <c r="E156" s="1">
        <v>10.229176278225978</v>
      </c>
      <c r="F156" s="1">
        <v>0</v>
      </c>
    </row>
    <row r="157" spans="1:6">
      <c r="A157">
        <v>662</v>
      </c>
      <c r="B157" t="s">
        <v>205</v>
      </c>
      <c r="C157">
        <v>4</v>
      </c>
      <c r="D157" s="1">
        <v>28.7</v>
      </c>
      <c r="E157" s="1">
        <v>0</v>
      </c>
      <c r="F157" s="1">
        <v>0</v>
      </c>
    </row>
    <row r="158" spans="1:6">
      <c r="A158">
        <v>666</v>
      </c>
      <c r="B158" t="s">
        <v>206</v>
      </c>
      <c r="C158">
        <v>2</v>
      </c>
      <c r="D158" s="1">
        <v>0</v>
      </c>
      <c r="E158" s="1">
        <v>0</v>
      </c>
      <c r="F158" s="1">
        <v>0</v>
      </c>
    </row>
    <row r="159" spans="1:6">
      <c r="A159">
        <v>670</v>
      </c>
      <c r="B159" t="s">
        <v>207</v>
      </c>
      <c r="C159">
        <v>4</v>
      </c>
      <c r="D159" s="1">
        <v>17.7</v>
      </c>
      <c r="E159" s="1">
        <v>12.168911458984184</v>
      </c>
      <c r="F159" s="1">
        <v>0</v>
      </c>
    </row>
    <row r="160" spans="1:6">
      <c r="A160">
        <v>678</v>
      </c>
      <c r="B160" t="s">
        <v>208</v>
      </c>
      <c r="C160">
        <v>8</v>
      </c>
      <c r="D160" s="1">
        <v>19.399999999999999</v>
      </c>
      <c r="E160" s="1">
        <v>20.911398662335422</v>
      </c>
      <c r="F160" s="1">
        <v>14.699508916007247</v>
      </c>
    </row>
    <row r="161" spans="1:6">
      <c r="A161">
        <v>682</v>
      </c>
      <c r="B161" t="s">
        <v>209</v>
      </c>
      <c r="C161">
        <v>17</v>
      </c>
      <c r="D161" s="1">
        <v>0.40040040040040037</v>
      </c>
      <c r="E161" s="1">
        <v>0</v>
      </c>
      <c r="F161" s="1">
        <v>0</v>
      </c>
    </row>
    <row r="162" spans="1:6">
      <c r="A162">
        <v>686</v>
      </c>
      <c r="B162" t="s">
        <v>210</v>
      </c>
      <c r="C162">
        <v>8</v>
      </c>
      <c r="D162" s="1">
        <v>24.2</v>
      </c>
      <c r="E162" s="1">
        <v>17.904888939213762</v>
      </c>
      <c r="F162" s="1">
        <v>0</v>
      </c>
    </row>
    <row r="163" spans="1:6">
      <c r="A163">
        <v>694</v>
      </c>
      <c r="B163" t="s">
        <v>211</v>
      </c>
      <c r="C163">
        <v>8</v>
      </c>
      <c r="D163" s="1">
        <v>38.761238761238758</v>
      </c>
      <c r="E163" s="1">
        <v>32.940604558890904</v>
      </c>
      <c r="F163" s="1">
        <v>15.404338852991856</v>
      </c>
    </row>
    <row r="164" spans="1:6">
      <c r="A164">
        <v>702</v>
      </c>
      <c r="B164" t="s">
        <v>212</v>
      </c>
      <c r="C164">
        <v>21</v>
      </c>
      <c r="D164" s="1">
        <v>0</v>
      </c>
      <c r="E164" s="1">
        <v>0</v>
      </c>
      <c r="F164" s="1">
        <v>0</v>
      </c>
    </row>
    <row r="165" spans="1:6">
      <c r="A165">
        <v>703</v>
      </c>
      <c r="B165" t="s">
        <v>213</v>
      </c>
      <c r="C165">
        <v>12</v>
      </c>
      <c r="D165" s="1">
        <v>3.9960039960039961</v>
      </c>
      <c r="E165" s="1">
        <v>0</v>
      </c>
      <c r="F165" s="1">
        <v>0</v>
      </c>
    </row>
    <row r="166" spans="1:6">
      <c r="A166">
        <v>704</v>
      </c>
      <c r="B166" t="s">
        <v>214</v>
      </c>
      <c r="C166">
        <v>21</v>
      </c>
      <c r="D166" s="1">
        <v>23.499999999999996</v>
      </c>
      <c r="E166" s="1">
        <v>0</v>
      </c>
      <c r="F166" s="1">
        <v>0</v>
      </c>
    </row>
    <row r="167" spans="1:6">
      <c r="A167">
        <v>705</v>
      </c>
      <c r="B167" t="s">
        <v>215</v>
      </c>
      <c r="C167">
        <v>12</v>
      </c>
      <c r="D167" s="1">
        <v>8.1999999999999993</v>
      </c>
      <c r="E167" s="1">
        <v>0</v>
      </c>
      <c r="F167" s="1">
        <v>0</v>
      </c>
    </row>
    <row r="168" spans="1:6">
      <c r="A168">
        <v>706</v>
      </c>
      <c r="B168" t="s">
        <v>216</v>
      </c>
      <c r="C168">
        <v>9</v>
      </c>
      <c r="D168" s="1">
        <v>34.099999999999994</v>
      </c>
      <c r="E168" s="1">
        <v>22.931598412321648</v>
      </c>
      <c r="F168" s="1">
        <v>0</v>
      </c>
    </row>
    <row r="169" spans="1:6">
      <c r="A169">
        <v>710</v>
      </c>
      <c r="B169" t="s">
        <v>217</v>
      </c>
      <c r="C169">
        <v>10</v>
      </c>
      <c r="D169" s="1">
        <v>27.9</v>
      </c>
      <c r="E169" s="1">
        <v>22.696911527790121</v>
      </c>
      <c r="F169" s="1">
        <v>0.83773050819820583</v>
      </c>
    </row>
    <row r="170" spans="1:6">
      <c r="A170">
        <v>716</v>
      </c>
      <c r="B170" t="s">
        <v>218</v>
      </c>
      <c r="C170">
        <v>26</v>
      </c>
      <c r="D170" s="1">
        <v>33.599999999999994</v>
      </c>
      <c r="E170" s="1">
        <v>24.610216546883855</v>
      </c>
      <c r="F170" s="1">
        <v>0</v>
      </c>
    </row>
    <row r="171" spans="1:6">
      <c r="A171">
        <v>724</v>
      </c>
      <c r="B171" t="s">
        <v>219</v>
      </c>
      <c r="C171">
        <v>11</v>
      </c>
      <c r="D171" s="1">
        <v>0</v>
      </c>
      <c r="E171" s="1">
        <v>0</v>
      </c>
      <c r="F171" s="1">
        <v>0</v>
      </c>
    </row>
    <row r="172" spans="1:6">
      <c r="A172">
        <v>732</v>
      </c>
      <c r="B172" t="s">
        <v>220</v>
      </c>
      <c r="C172">
        <v>7</v>
      </c>
      <c r="D172" s="1">
        <v>7.5169558283614464</v>
      </c>
      <c r="E172" s="1">
        <v>0</v>
      </c>
      <c r="F172" s="1">
        <v>0</v>
      </c>
    </row>
    <row r="173" spans="1:6">
      <c r="A173">
        <v>736</v>
      </c>
      <c r="B173" t="s">
        <v>221</v>
      </c>
      <c r="C173">
        <v>9</v>
      </c>
      <c r="D173" s="1">
        <v>30.969030969030968</v>
      </c>
      <c r="E173" s="1">
        <v>26.408191564333229</v>
      </c>
      <c r="F173" s="1">
        <v>3.1162578039992468</v>
      </c>
    </row>
    <row r="174" spans="1:6">
      <c r="A174">
        <v>740</v>
      </c>
      <c r="B174" t="s">
        <v>222</v>
      </c>
      <c r="C174">
        <v>6</v>
      </c>
      <c r="D174" s="1">
        <v>14.414414414414416</v>
      </c>
      <c r="E174" s="1">
        <v>0</v>
      </c>
      <c r="F174" s="1">
        <v>0</v>
      </c>
    </row>
    <row r="175" spans="1:6">
      <c r="A175">
        <v>748</v>
      </c>
      <c r="B175" t="s">
        <v>223</v>
      </c>
      <c r="C175">
        <v>26</v>
      </c>
      <c r="D175" s="1">
        <v>25.397513090667182</v>
      </c>
      <c r="E175" s="1">
        <v>24.632658078796034</v>
      </c>
      <c r="F175" s="1">
        <v>15.43513373685559</v>
      </c>
    </row>
    <row r="176" spans="1:6">
      <c r="A176">
        <v>752</v>
      </c>
      <c r="B176" t="s">
        <v>224</v>
      </c>
      <c r="C176">
        <v>11</v>
      </c>
      <c r="D176" s="1">
        <v>2.1</v>
      </c>
      <c r="E176" s="1">
        <v>0</v>
      </c>
      <c r="F176" s="1">
        <v>0</v>
      </c>
    </row>
    <row r="177" spans="1:6">
      <c r="A177">
        <v>756</v>
      </c>
      <c r="B177" t="s">
        <v>225</v>
      </c>
      <c r="C177">
        <v>11</v>
      </c>
      <c r="D177" s="1">
        <v>0.80080080080080085</v>
      </c>
      <c r="E177" s="1">
        <v>0</v>
      </c>
      <c r="F177" s="1">
        <v>0</v>
      </c>
    </row>
    <row r="178" spans="1:6">
      <c r="A178">
        <v>760</v>
      </c>
      <c r="B178" t="s">
        <v>226</v>
      </c>
      <c r="C178">
        <v>17</v>
      </c>
      <c r="D178" s="1">
        <v>19.3</v>
      </c>
      <c r="E178" s="1">
        <v>0</v>
      </c>
      <c r="F178" s="1">
        <v>0</v>
      </c>
    </row>
    <row r="179" spans="1:6">
      <c r="A179">
        <v>762</v>
      </c>
      <c r="B179" t="s">
        <v>227</v>
      </c>
      <c r="C179">
        <v>15</v>
      </c>
      <c r="D179" s="1">
        <v>82.100000000000009</v>
      </c>
      <c r="E179" s="1">
        <v>47.837359647362632</v>
      </c>
      <c r="F179" s="1">
        <v>13.148591105252223</v>
      </c>
    </row>
    <row r="180" spans="1:6">
      <c r="A180">
        <v>764</v>
      </c>
      <c r="B180" t="s">
        <v>228</v>
      </c>
      <c r="C180">
        <v>21</v>
      </c>
      <c r="D180" s="1">
        <v>2.7027027027027031</v>
      </c>
      <c r="E180" s="1">
        <v>0</v>
      </c>
      <c r="F180" s="1">
        <v>0</v>
      </c>
    </row>
    <row r="181" spans="1:6">
      <c r="A181">
        <v>768</v>
      </c>
      <c r="B181" t="s">
        <v>229</v>
      </c>
      <c r="C181">
        <v>8</v>
      </c>
      <c r="D181" s="1">
        <v>24.624624624624627</v>
      </c>
      <c r="E181" s="1">
        <v>15.648580741206032</v>
      </c>
      <c r="F181" s="1">
        <v>0.23649416245244481</v>
      </c>
    </row>
    <row r="182" spans="1:6">
      <c r="A182">
        <v>776</v>
      </c>
      <c r="B182" t="s">
        <v>230</v>
      </c>
      <c r="C182">
        <v>24</v>
      </c>
      <c r="D182" s="1">
        <v>11.9</v>
      </c>
      <c r="E182" s="1">
        <v>5.0701247598677099</v>
      </c>
      <c r="F182" s="1">
        <v>0</v>
      </c>
    </row>
    <row r="183" spans="1:6">
      <c r="A183">
        <v>780</v>
      </c>
      <c r="B183" t="s">
        <v>231</v>
      </c>
      <c r="C183">
        <v>4</v>
      </c>
      <c r="D183" s="1">
        <v>10.41041041041041</v>
      </c>
      <c r="E183" s="1">
        <v>0.96067702143815836</v>
      </c>
      <c r="F183" s="1">
        <v>0</v>
      </c>
    </row>
    <row r="184" spans="1:6">
      <c r="A184">
        <v>784</v>
      </c>
      <c r="B184" t="s">
        <v>232</v>
      </c>
      <c r="C184">
        <v>17</v>
      </c>
      <c r="D184" s="1">
        <v>2.4</v>
      </c>
      <c r="E184" s="1">
        <v>0</v>
      </c>
      <c r="F184" s="1">
        <v>0</v>
      </c>
    </row>
    <row r="185" spans="1:6">
      <c r="A185">
        <v>788</v>
      </c>
      <c r="B185" t="s">
        <v>233</v>
      </c>
      <c r="C185">
        <v>7</v>
      </c>
      <c r="D185" s="1">
        <v>11.8</v>
      </c>
      <c r="E185" s="1">
        <v>0</v>
      </c>
      <c r="F185" s="1">
        <v>0</v>
      </c>
    </row>
    <row r="186" spans="1:6">
      <c r="A186">
        <v>792</v>
      </c>
      <c r="B186" t="s">
        <v>234</v>
      </c>
      <c r="C186">
        <v>13</v>
      </c>
      <c r="D186" s="1">
        <v>0.5</v>
      </c>
      <c r="E186" s="1">
        <v>0</v>
      </c>
      <c r="F186" s="1">
        <v>0</v>
      </c>
    </row>
    <row r="187" spans="1:6">
      <c r="A187">
        <v>795</v>
      </c>
      <c r="B187" t="s">
        <v>235</v>
      </c>
      <c r="C187">
        <v>15</v>
      </c>
      <c r="D187" s="1">
        <v>70.415757289657876</v>
      </c>
      <c r="E187" s="1">
        <v>38.412676941716072</v>
      </c>
      <c r="F187" s="1">
        <v>28.86997784385305</v>
      </c>
    </row>
    <row r="188" spans="1:6">
      <c r="A188">
        <v>796</v>
      </c>
      <c r="B188" t="s">
        <v>236</v>
      </c>
      <c r="C188">
        <v>4</v>
      </c>
      <c r="D188" s="1">
        <v>15.4</v>
      </c>
      <c r="E188" s="1">
        <v>1.8410734324039311</v>
      </c>
      <c r="F188" s="1">
        <v>0</v>
      </c>
    </row>
    <row r="189" spans="1:6">
      <c r="A189">
        <v>800</v>
      </c>
      <c r="B189" t="s">
        <v>237</v>
      </c>
      <c r="C189">
        <v>9</v>
      </c>
      <c r="D189" s="1">
        <v>31.068931068931072</v>
      </c>
      <c r="E189" s="1">
        <v>19.737527795833117</v>
      </c>
      <c r="F189" s="1">
        <v>0</v>
      </c>
    </row>
    <row r="190" spans="1:6">
      <c r="A190">
        <v>804</v>
      </c>
      <c r="B190" t="s">
        <v>238</v>
      </c>
      <c r="C190">
        <v>14</v>
      </c>
      <c r="D190" s="1">
        <v>42.2</v>
      </c>
      <c r="E190" s="1">
        <v>20.134376916505062</v>
      </c>
      <c r="F190" s="1">
        <v>0</v>
      </c>
    </row>
    <row r="191" spans="1:6">
      <c r="A191">
        <v>807</v>
      </c>
      <c r="B191" t="s">
        <v>239</v>
      </c>
      <c r="C191">
        <v>12</v>
      </c>
      <c r="D191" s="1">
        <v>7.5</v>
      </c>
      <c r="E191" s="1">
        <v>0</v>
      </c>
      <c r="F191" s="1">
        <v>0</v>
      </c>
    </row>
    <row r="192" spans="1:6">
      <c r="A192">
        <v>818</v>
      </c>
      <c r="B192" t="s">
        <v>240</v>
      </c>
      <c r="C192">
        <v>7</v>
      </c>
      <c r="D192" s="1">
        <v>4.3</v>
      </c>
      <c r="E192" s="1">
        <v>0</v>
      </c>
      <c r="F192" s="1">
        <v>0</v>
      </c>
    </row>
    <row r="193" spans="1:6">
      <c r="A193">
        <v>826</v>
      </c>
      <c r="B193" t="s">
        <v>241</v>
      </c>
      <c r="C193">
        <v>11</v>
      </c>
      <c r="D193" s="1">
        <v>0.1</v>
      </c>
      <c r="E193" s="1">
        <v>0</v>
      </c>
      <c r="F193" s="1">
        <v>0</v>
      </c>
    </row>
    <row r="194" spans="1:6">
      <c r="A194">
        <v>834</v>
      </c>
      <c r="B194" t="s">
        <v>242</v>
      </c>
      <c r="C194">
        <v>26</v>
      </c>
      <c r="D194" s="1">
        <v>26.400000000000002</v>
      </c>
      <c r="E194" s="1">
        <v>23.735233594406324</v>
      </c>
      <c r="F194" s="1">
        <v>9.649332101324589</v>
      </c>
    </row>
    <row r="195" spans="1:6">
      <c r="A195">
        <v>840</v>
      </c>
      <c r="B195" t="s">
        <v>243</v>
      </c>
      <c r="C195">
        <v>2</v>
      </c>
      <c r="D195" s="1">
        <v>0</v>
      </c>
      <c r="E195" s="1">
        <v>0</v>
      </c>
      <c r="F195" s="1">
        <v>0</v>
      </c>
    </row>
    <row r="196" spans="1:6">
      <c r="A196">
        <v>850</v>
      </c>
      <c r="B196" t="s">
        <v>244</v>
      </c>
      <c r="C196">
        <v>4</v>
      </c>
      <c r="D196" s="1">
        <v>0.8</v>
      </c>
      <c r="E196" s="1">
        <v>0</v>
      </c>
      <c r="F196" s="1">
        <v>0</v>
      </c>
    </row>
    <row r="197" spans="1:6">
      <c r="A197">
        <v>854</v>
      </c>
      <c r="B197" t="s">
        <v>245</v>
      </c>
      <c r="C197">
        <v>8</v>
      </c>
      <c r="D197" s="1">
        <v>33.633633633633636</v>
      </c>
      <c r="E197" s="1">
        <v>31.007587830132941</v>
      </c>
      <c r="F197" s="1">
        <v>12.381417152080559</v>
      </c>
    </row>
    <row r="198" spans="1:6">
      <c r="A198">
        <v>858</v>
      </c>
      <c r="B198" t="s">
        <v>246</v>
      </c>
      <c r="C198">
        <v>6</v>
      </c>
      <c r="D198" s="1">
        <v>0.5</v>
      </c>
      <c r="E198" s="1">
        <v>0</v>
      </c>
      <c r="F198" s="1">
        <v>0</v>
      </c>
    </row>
    <row r="199" spans="1:6">
      <c r="A199">
        <v>860</v>
      </c>
      <c r="B199" t="s">
        <v>247</v>
      </c>
      <c r="C199">
        <v>15</v>
      </c>
      <c r="D199" s="1">
        <v>75.175175175175156</v>
      </c>
      <c r="E199" s="1">
        <v>42.457540942660344</v>
      </c>
      <c r="F199" s="1">
        <v>15.579029036609981</v>
      </c>
    </row>
    <row r="200" spans="1:6">
      <c r="A200">
        <v>862</v>
      </c>
      <c r="B200" t="s">
        <v>248</v>
      </c>
      <c r="C200">
        <v>6</v>
      </c>
      <c r="D200" s="1">
        <v>5.4</v>
      </c>
      <c r="E200" s="1">
        <v>0</v>
      </c>
      <c r="F200" s="1">
        <v>0</v>
      </c>
    </row>
    <row r="201" spans="1:6">
      <c r="A201">
        <v>882</v>
      </c>
      <c r="B201" t="s">
        <v>249</v>
      </c>
      <c r="C201">
        <v>24</v>
      </c>
      <c r="D201" s="1">
        <v>13</v>
      </c>
      <c r="E201" s="1">
        <v>0</v>
      </c>
      <c r="F201" s="1">
        <v>0</v>
      </c>
    </row>
    <row r="202" spans="1:6">
      <c r="A202">
        <v>887</v>
      </c>
      <c r="B202" t="s">
        <v>250</v>
      </c>
      <c r="C202">
        <v>17</v>
      </c>
      <c r="D202" s="1">
        <v>17</v>
      </c>
      <c r="E202" s="1">
        <v>1.5158895155373813</v>
      </c>
      <c r="F202" s="1">
        <v>0</v>
      </c>
    </row>
    <row r="203" spans="1:6">
      <c r="A203">
        <v>891</v>
      </c>
      <c r="B203" t="s">
        <v>251</v>
      </c>
      <c r="C203">
        <v>12</v>
      </c>
      <c r="D203" s="1">
        <v>7.5</v>
      </c>
      <c r="E203" s="1">
        <v>0</v>
      </c>
      <c r="F203" s="1">
        <v>0</v>
      </c>
    </row>
    <row r="204" spans="1:6">
      <c r="A204">
        <v>894</v>
      </c>
      <c r="B204" t="s">
        <v>252</v>
      </c>
      <c r="C204">
        <v>26</v>
      </c>
      <c r="D204" s="1">
        <v>26.399999999999995</v>
      </c>
      <c r="E204" s="1">
        <v>17.763057120665195</v>
      </c>
      <c r="F204" s="1">
        <v>0.75791084842200007</v>
      </c>
    </row>
  </sheetData>
  <pageMargins left="0.7" right="0.7" top="0.75" bottom="0.75" header="0.3" footer="0.3"/>
  <customProperties>
    <customPr name="EpmWorksheetKeyString_GU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D4D94-73FE-4CE7-8ABC-E7EDA0CE5C81}">
  <dimension ref="A1:G204"/>
  <sheetViews>
    <sheetView workbookViewId="0"/>
  </sheetViews>
  <sheetFormatPr defaultRowHeight="15"/>
  <sheetData>
    <row r="1" spans="1:7">
      <c r="A1" t="s">
        <v>44</v>
      </c>
      <c r="B1" s="2" t="s">
        <v>257</v>
      </c>
    </row>
    <row r="2" spans="1:7">
      <c r="A2" t="s">
        <v>44</v>
      </c>
      <c r="B2" t="s">
        <v>46</v>
      </c>
    </row>
    <row r="3" spans="1:7">
      <c r="A3" t="s">
        <v>44</v>
      </c>
      <c r="D3" s="2" t="s">
        <v>258</v>
      </c>
      <c r="E3" s="2" t="s">
        <v>259</v>
      </c>
      <c r="F3" s="2" t="s">
        <v>260</v>
      </c>
      <c r="G3" s="2"/>
    </row>
    <row r="4" spans="1:7">
      <c r="A4" t="s">
        <v>50</v>
      </c>
      <c r="B4" t="s">
        <v>51</v>
      </c>
      <c r="C4" t="s">
        <v>52</v>
      </c>
      <c r="D4">
        <v>2010</v>
      </c>
      <c r="E4">
        <v>2050</v>
      </c>
      <c r="F4">
        <v>2100</v>
      </c>
    </row>
    <row r="5" spans="1:7">
      <c r="A5">
        <v>4</v>
      </c>
      <c r="B5" t="s">
        <v>53</v>
      </c>
      <c r="C5">
        <v>25</v>
      </c>
      <c r="D5" s="1">
        <v>5.5</v>
      </c>
      <c r="E5" s="1">
        <v>8.5137569777200994</v>
      </c>
      <c r="F5" s="1">
        <v>17.874499999999998</v>
      </c>
      <c r="G5" s="2"/>
    </row>
    <row r="6" spans="1:7">
      <c r="A6">
        <v>8</v>
      </c>
      <c r="B6" t="s">
        <v>54</v>
      </c>
      <c r="C6">
        <v>12</v>
      </c>
      <c r="D6" s="1">
        <v>7.9079079079079078</v>
      </c>
      <c r="E6" s="1">
        <v>2.0999999999999943</v>
      </c>
      <c r="F6" s="1">
        <v>2.0999999999999943</v>
      </c>
    </row>
    <row r="7" spans="1:7">
      <c r="A7">
        <v>12</v>
      </c>
      <c r="B7" t="s">
        <v>55</v>
      </c>
      <c r="C7">
        <v>7</v>
      </c>
      <c r="D7" s="1">
        <v>11.4</v>
      </c>
      <c r="E7" s="1">
        <v>9.7395000000000067</v>
      </c>
      <c r="F7" s="1">
        <v>4.9634999999999962</v>
      </c>
    </row>
    <row r="8" spans="1:7">
      <c r="A8">
        <v>16</v>
      </c>
      <c r="B8" t="s">
        <v>56</v>
      </c>
      <c r="C8">
        <v>24</v>
      </c>
      <c r="D8" s="1">
        <v>12.645954495030296</v>
      </c>
      <c r="E8" s="1">
        <v>3.2368337536176313</v>
      </c>
      <c r="F8" s="1">
        <v>1.5960000000000036</v>
      </c>
    </row>
    <row r="9" spans="1:7">
      <c r="A9">
        <v>20</v>
      </c>
      <c r="B9" t="s">
        <v>57</v>
      </c>
      <c r="C9">
        <v>11</v>
      </c>
      <c r="D9" s="1">
        <v>0</v>
      </c>
      <c r="E9" s="1">
        <v>0</v>
      </c>
      <c r="F9" s="1">
        <v>0</v>
      </c>
    </row>
    <row r="10" spans="1:7">
      <c r="A10">
        <v>24</v>
      </c>
      <c r="B10" t="s">
        <v>58</v>
      </c>
      <c r="C10">
        <v>26</v>
      </c>
      <c r="D10" s="1">
        <v>29.3</v>
      </c>
      <c r="E10" s="1">
        <v>45.939063158515765</v>
      </c>
      <c r="F10" s="1">
        <v>46.464163103549303</v>
      </c>
    </row>
    <row r="11" spans="1:7">
      <c r="A11">
        <v>31</v>
      </c>
      <c r="B11" t="s">
        <v>59</v>
      </c>
      <c r="C11">
        <v>16</v>
      </c>
      <c r="D11" s="1">
        <v>0.9009009009009008</v>
      </c>
      <c r="E11" s="1">
        <v>0.88079276542068641</v>
      </c>
      <c r="F11" s="1">
        <v>0.82447305160748385</v>
      </c>
    </row>
    <row r="12" spans="1:7">
      <c r="A12">
        <v>32</v>
      </c>
      <c r="B12" t="s">
        <v>60</v>
      </c>
      <c r="C12">
        <v>6</v>
      </c>
      <c r="D12" s="1">
        <v>25.7</v>
      </c>
      <c r="E12" s="1">
        <v>24.699688495309687</v>
      </c>
      <c r="F12" s="1">
        <v>11.695468474608646</v>
      </c>
    </row>
    <row r="13" spans="1:7">
      <c r="A13">
        <v>36</v>
      </c>
      <c r="B13" t="s">
        <v>61</v>
      </c>
      <c r="C13">
        <v>24</v>
      </c>
      <c r="D13" s="1">
        <v>11.5</v>
      </c>
      <c r="E13" s="1">
        <v>2.7870000000000061</v>
      </c>
      <c r="F13" s="1">
        <v>1.160499999999999</v>
      </c>
    </row>
    <row r="14" spans="1:7">
      <c r="A14">
        <v>40</v>
      </c>
      <c r="B14" t="s">
        <v>62</v>
      </c>
      <c r="C14">
        <v>11</v>
      </c>
      <c r="D14" s="1">
        <v>6.6</v>
      </c>
      <c r="E14" s="1">
        <v>7.5075075075075119</v>
      </c>
      <c r="F14" s="1">
        <v>5.8315000000000055</v>
      </c>
    </row>
    <row r="15" spans="1:7">
      <c r="A15">
        <v>44</v>
      </c>
      <c r="B15" t="s">
        <v>63</v>
      </c>
      <c r="C15">
        <v>4</v>
      </c>
      <c r="D15" s="1">
        <v>77.7</v>
      </c>
      <c r="E15" s="1">
        <v>68.408892207212318</v>
      </c>
      <c r="F15" s="1">
        <v>52.300640894384067</v>
      </c>
    </row>
    <row r="16" spans="1:7">
      <c r="A16">
        <v>48</v>
      </c>
      <c r="B16" t="s">
        <v>64</v>
      </c>
      <c r="C16">
        <v>17</v>
      </c>
      <c r="D16" s="1">
        <v>8.0080080080080069</v>
      </c>
      <c r="E16" s="1">
        <v>3.6219999999999857</v>
      </c>
      <c r="F16" s="1">
        <v>3.6219999999999857</v>
      </c>
    </row>
    <row r="17" spans="1:6">
      <c r="A17">
        <v>50</v>
      </c>
      <c r="B17" t="s">
        <v>65</v>
      </c>
      <c r="C17">
        <v>25</v>
      </c>
      <c r="D17" s="1">
        <v>12.699999999999998</v>
      </c>
      <c r="E17" s="1">
        <v>13.214402273715088</v>
      </c>
      <c r="F17" s="1">
        <v>13.14138338697866</v>
      </c>
    </row>
    <row r="18" spans="1:6">
      <c r="A18">
        <v>51</v>
      </c>
      <c r="B18" t="s">
        <v>66</v>
      </c>
      <c r="C18">
        <v>16</v>
      </c>
      <c r="D18" s="1">
        <v>1</v>
      </c>
      <c r="E18" s="1">
        <v>1.856076090128056</v>
      </c>
      <c r="F18" s="1">
        <v>5.5420000000000016</v>
      </c>
    </row>
    <row r="19" spans="1:6">
      <c r="A19">
        <v>52</v>
      </c>
      <c r="B19" t="s">
        <v>67</v>
      </c>
      <c r="C19">
        <v>4</v>
      </c>
      <c r="D19" s="1">
        <v>11.300000000000002</v>
      </c>
      <c r="E19" s="1">
        <v>7.3812338148107344</v>
      </c>
      <c r="F19" s="1">
        <v>7.3517528402841137</v>
      </c>
    </row>
    <row r="20" spans="1:6">
      <c r="A20">
        <v>56</v>
      </c>
      <c r="B20" t="s">
        <v>68</v>
      </c>
      <c r="C20">
        <v>11</v>
      </c>
      <c r="D20" s="1">
        <v>18.5</v>
      </c>
      <c r="E20" s="1">
        <v>0.83750000000000568</v>
      </c>
      <c r="F20" s="1">
        <v>0.48349999999999227</v>
      </c>
    </row>
    <row r="21" spans="1:6">
      <c r="A21">
        <v>64</v>
      </c>
      <c r="B21" t="s">
        <v>69</v>
      </c>
      <c r="C21">
        <v>25</v>
      </c>
      <c r="D21" s="1">
        <v>40.9</v>
      </c>
      <c r="E21" s="1">
        <v>50.761871808575513</v>
      </c>
      <c r="F21" s="1">
        <v>26.932711393495993</v>
      </c>
    </row>
    <row r="22" spans="1:6">
      <c r="A22">
        <v>68</v>
      </c>
      <c r="B22" t="s">
        <v>70</v>
      </c>
      <c r="C22">
        <v>6</v>
      </c>
      <c r="D22" s="1">
        <v>10.78921078921079</v>
      </c>
      <c r="E22" s="1">
        <v>11.739672747856488</v>
      </c>
      <c r="F22" s="1">
        <v>5.5760000000000076</v>
      </c>
    </row>
    <row r="23" spans="1:6">
      <c r="A23">
        <v>70</v>
      </c>
      <c r="B23" t="s">
        <v>71</v>
      </c>
      <c r="C23">
        <v>12</v>
      </c>
      <c r="D23" s="1">
        <v>36.200000000000003</v>
      </c>
      <c r="E23" s="1">
        <v>18.091308804931899</v>
      </c>
      <c r="F23" s="1">
        <v>9.6910000000000025</v>
      </c>
    </row>
    <row r="24" spans="1:6">
      <c r="A24">
        <v>72</v>
      </c>
      <c r="B24" t="s">
        <v>72</v>
      </c>
      <c r="C24">
        <v>26</v>
      </c>
      <c r="D24" s="1">
        <v>4.7</v>
      </c>
      <c r="E24" s="1">
        <v>4.7880276498234338</v>
      </c>
      <c r="F24" s="1">
        <v>4.7644820722066612</v>
      </c>
    </row>
    <row r="25" spans="1:6">
      <c r="A25">
        <v>76</v>
      </c>
      <c r="B25" t="s">
        <v>73</v>
      </c>
      <c r="C25">
        <v>5</v>
      </c>
      <c r="D25" s="1">
        <v>16.7</v>
      </c>
      <c r="E25" s="1">
        <v>14.757702547833887</v>
      </c>
      <c r="F25" s="1">
        <v>2.7884999999999991</v>
      </c>
    </row>
    <row r="26" spans="1:6">
      <c r="A26">
        <v>84</v>
      </c>
      <c r="B26" t="s">
        <v>74</v>
      </c>
      <c r="C26">
        <v>4</v>
      </c>
      <c r="D26" s="1">
        <v>50.7</v>
      </c>
      <c r="E26" s="1">
        <v>58.912057317024775</v>
      </c>
      <c r="F26" s="1">
        <v>32.940920883534119</v>
      </c>
    </row>
    <row r="27" spans="1:6">
      <c r="A27">
        <v>90</v>
      </c>
      <c r="B27" t="s">
        <v>75</v>
      </c>
      <c r="C27">
        <v>24</v>
      </c>
      <c r="D27" s="1">
        <v>12.645954495030296</v>
      </c>
      <c r="E27" s="1">
        <v>14.51217165591838</v>
      </c>
      <c r="F27" s="1">
        <v>13.323999999999998</v>
      </c>
    </row>
    <row r="28" spans="1:6">
      <c r="A28">
        <v>96</v>
      </c>
      <c r="B28" t="s">
        <v>76</v>
      </c>
      <c r="C28">
        <v>21</v>
      </c>
      <c r="D28" s="1">
        <v>0</v>
      </c>
      <c r="E28" s="1">
        <v>4.7000000000000028</v>
      </c>
      <c r="F28" s="1">
        <v>4.7000000000000028</v>
      </c>
    </row>
    <row r="29" spans="1:6">
      <c r="A29">
        <v>100</v>
      </c>
      <c r="B29" t="s">
        <v>77</v>
      </c>
      <c r="C29">
        <v>12</v>
      </c>
      <c r="D29" s="1">
        <v>27.9</v>
      </c>
      <c r="E29" s="1">
        <v>8.4450000000000074</v>
      </c>
      <c r="F29" s="1">
        <v>4.9980000000000047</v>
      </c>
    </row>
    <row r="30" spans="1:6">
      <c r="A30">
        <v>104</v>
      </c>
      <c r="B30" t="s">
        <v>78</v>
      </c>
      <c r="C30">
        <v>21</v>
      </c>
      <c r="D30" s="1">
        <v>10.189810189810188</v>
      </c>
      <c r="E30" s="1">
        <v>9.1576401895380002</v>
      </c>
      <c r="F30" s="1">
        <v>9.1059482663972631</v>
      </c>
    </row>
    <row r="31" spans="1:6">
      <c r="A31">
        <v>108</v>
      </c>
      <c r="B31" t="s">
        <v>79</v>
      </c>
      <c r="C31">
        <v>9</v>
      </c>
      <c r="D31" s="1">
        <v>2.2999999999999998</v>
      </c>
      <c r="E31" s="1">
        <v>3.1128595346168666</v>
      </c>
      <c r="F31" s="1">
        <v>22.833500000000001</v>
      </c>
    </row>
    <row r="32" spans="1:6">
      <c r="A32">
        <v>112</v>
      </c>
      <c r="B32" t="s">
        <v>80</v>
      </c>
      <c r="C32">
        <v>14</v>
      </c>
      <c r="D32" s="1">
        <v>4.4000000000000004</v>
      </c>
      <c r="E32" s="1">
        <v>6.8305000000000007</v>
      </c>
      <c r="F32" s="1">
        <v>3.0324999999999989</v>
      </c>
    </row>
    <row r="33" spans="1:6">
      <c r="A33">
        <v>116</v>
      </c>
      <c r="B33" t="s">
        <v>81</v>
      </c>
      <c r="C33">
        <v>21</v>
      </c>
      <c r="D33" s="1">
        <v>29.6</v>
      </c>
      <c r="E33" s="1">
        <v>45.824012921721682</v>
      </c>
      <c r="F33" s="1">
        <v>17.668499999999995</v>
      </c>
    </row>
    <row r="34" spans="1:6">
      <c r="A34">
        <v>120</v>
      </c>
      <c r="B34" t="s">
        <v>82</v>
      </c>
      <c r="C34">
        <v>8</v>
      </c>
      <c r="D34" s="1">
        <v>9.9</v>
      </c>
      <c r="E34" s="1">
        <v>12.333951344345788</v>
      </c>
      <c r="F34" s="1">
        <v>12.258845960772064</v>
      </c>
    </row>
    <row r="35" spans="1:6">
      <c r="A35">
        <v>124</v>
      </c>
      <c r="B35" t="s">
        <v>83</v>
      </c>
      <c r="C35">
        <v>1</v>
      </c>
      <c r="D35" s="1">
        <v>11.311311311311311</v>
      </c>
      <c r="E35" s="1">
        <v>10.01561967921441</v>
      </c>
      <c r="F35" s="1">
        <v>1.8215000000000003</v>
      </c>
    </row>
    <row r="36" spans="1:6">
      <c r="A36">
        <v>132</v>
      </c>
      <c r="B36" t="s">
        <v>84</v>
      </c>
      <c r="C36">
        <v>8</v>
      </c>
      <c r="D36" s="1">
        <v>47.499999999999993</v>
      </c>
      <c r="E36" s="1">
        <v>53.930799781087536</v>
      </c>
      <c r="F36" s="1">
        <v>45.870737320221188</v>
      </c>
    </row>
    <row r="37" spans="1:6">
      <c r="A37">
        <v>140</v>
      </c>
      <c r="B37" t="s">
        <v>85</v>
      </c>
      <c r="C37">
        <v>8</v>
      </c>
      <c r="D37" s="1">
        <v>0.5</v>
      </c>
      <c r="E37" s="1">
        <v>0.53862630296374192</v>
      </c>
      <c r="F37" s="1">
        <v>0.43803402317971063</v>
      </c>
    </row>
    <row r="38" spans="1:6">
      <c r="A38">
        <v>144</v>
      </c>
      <c r="B38" t="s">
        <v>86</v>
      </c>
      <c r="C38">
        <v>25</v>
      </c>
      <c r="D38" s="1">
        <v>4.4955044955044956</v>
      </c>
      <c r="E38" s="1">
        <v>2.6444760189276977</v>
      </c>
      <c r="F38" s="1">
        <v>2.5959562656080735</v>
      </c>
    </row>
    <row r="39" spans="1:6">
      <c r="A39">
        <v>148</v>
      </c>
      <c r="B39" t="s">
        <v>87</v>
      </c>
      <c r="C39">
        <v>8</v>
      </c>
      <c r="D39" s="1">
        <v>0.70000000000000007</v>
      </c>
      <c r="E39" s="1">
        <v>0.94482117812034971</v>
      </c>
      <c r="F39" s="1">
        <v>0.835839725933198</v>
      </c>
    </row>
    <row r="40" spans="1:6">
      <c r="A40">
        <v>152</v>
      </c>
      <c r="B40" t="s">
        <v>88</v>
      </c>
      <c r="C40">
        <v>6</v>
      </c>
      <c r="D40" s="1">
        <v>8.9</v>
      </c>
      <c r="E40" s="1">
        <v>2.0455000000000041</v>
      </c>
      <c r="F40" s="1">
        <v>0.55799999999999272</v>
      </c>
    </row>
    <row r="41" spans="1:6">
      <c r="A41">
        <v>156</v>
      </c>
      <c r="B41" t="s">
        <v>89</v>
      </c>
      <c r="C41">
        <v>20</v>
      </c>
      <c r="D41" s="1">
        <v>4.9000000000000004</v>
      </c>
      <c r="E41" s="1">
        <v>11.617482482251205</v>
      </c>
      <c r="F41" s="1">
        <v>9.6079999999999899</v>
      </c>
    </row>
    <row r="42" spans="1:6">
      <c r="A42">
        <v>158</v>
      </c>
      <c r="B42" t="s">
        <v>90</v>
      </c>
      <c r="C42">
        <v>20</v>
      </c>
      <c r="D42" s="1">
        <v>4.8902837413129374</v>
      </c>
      <c r="E42" s="1">
        <v>10.452719702708123</v>
      </c>
      <c r="F42" s="1">
        <v>7.92349999999999</v>
      </c>
    </row>
    <row r="43" spans="1:6">
      <c r="A43">
        <v>170</v>
      </c>
      <c r="B43" t="s">
        <v>91</v>
      </c>
      <c r="C43">
        <v>6</v>
      </c>
      <c r="D43" s="1">
        <v>15.215215215215215</v>
      </c>
      <c r="E43" s="1">
        <v>8.040648729627236</v>
      </c>
      <c r="F43" s="1">
        <v>3.4110000000000014</v>
      </c>
    </row>
    <row r="44" spans="1:6">
      <c r="A44">
        <v>174</v>
      </c>
      <c r="B44" t="s">
        <v>92</v>
      </c>
      <c r="C44">
        <v>9</v>
      </c>
      <c r="D44" s="1">
        <v>3.3999999999999995</v>
      </c>
      <c r="E44" s="1">
        <v>5.3239291749871143</v>
      </c>
      <c r="F44" s="1">
        <v>11.851499999999987</v>
      </c>
    </row>
    <row r="45" spans="1:6">
      <c r="A45">
        <v>178</v>
      </c>
      <c r="B45" t="s">
        <v>93</v>
      </c>
      <c r="C45">
        <v>8</v>
      </c>
      <c r="D45" s="1">
        <v>8.5085085085085073</v>
      </c>
      <c r="E45" s="1">
        <v>12.824623166883441</v>
      </c>
      <c r="F45" s="1">
        <v>12.726517495231235</v>
      </c>
    </row>
    <row r="46" spans="1:6">
      <c r="A46">
        <v>180</v>
      </c>
      <c r="B46" t="s">
        <v>94</v>
      </c>
      <c r="C46">
        <v>8</v>
      </c>
      <c r="D46" s="1">
        <v>4.9950049950049946</v>
      </c>
      <c r="E46" s="1">
        <v>5.1980114829412756</v>
      </c>
      <c r="F46" s="1">
        <v>13.0655</v>
      </c>
    </row>
    <row r="47" spans="1:6">
      <c r="A47">
        <v>188</v>
      </c>
      <c r="B47" t="s">
        <v>95</v>
      </c>
      <c r="C47">
        <v>4</v>
      </c>
      <c r="D47" s="1">
        <v>70.029970029970031</v>
      </c>
      <c r="E47" s="1">
        <v>53.060290850607196</v>
      </c>
      <c r="F47" s="1">
        <v>28.561025581607737</v>
      </c>
    </row>
    <row r="48" spans="1:6">
      <c r="A48">
        <v>191</v>
      </c>
      <c r="B48" t="s">
        <v>96</v>
      </c>
      <c r="C48">
        <v>12</v>
      </c>
      <c r="D48" s="1">
        <v>36.653386454183263</v>
      </c>
      <c r="E48" s="1">
        <v>27.612472692409341</v>
      </c>
      <c r="F48" s="1">
        <v>11.284469116301892</v>
      </c>
    </row>
    <row r="49" spans="1:6">
      <c r="A49">
        <v>192</v>
      </c>
      <c r="B49" t="s">
        <v>97</v>
      </c>
      <c r="C49">
        <v>4</v>
      </c>
      <c r="D49" s="1">
        <v>26.3</v>
      </c>
      <c r="E49" s="1">
        <v>25.249316362248734</v>
      </c>
      <c r="F49" s="1">
        <v>20.754886306311349</v>
      </c>
    </row>
    <row r="50" spans="1:6">
      <c r="A50">
        <v>196</v>
      </c>
      <c r="B50" t="s">
        <v>98</v>
      </c>
      <c r="C50">
        <v>12</v>
      </c>
      <c r="D50" s="1">
        <v>19.021241697093917</v>
      </c>
      <c r="E50" s="1">
        <v>10.705615982866362</v>
      </c>
      <c r="F50" s="1">
        <v>5.4829999999999899</v>
      </c>
    </row>
    <row r="51" spans="1:6">
      <c r="A51">
        <v>203</v>
      </c>
      <c r="B51" t="s">
        <v>99</v>
      </c>
      <c r="C51">
        <v>12</v>
      </c>
      <c r="D51" s="1">
        <v>9.5095095095095097</v>
      </c>
      <c r="E51" s="1">
        <v>7.1265000000000072</v>
      </c>
      <c r="F51" s="1">
        <v>3.3649999999999949</v>
      </c>
    </row>
    <row r="52" spans="1:6">
      <c r="A52">
        <v>204</v>
      </c>
      <c r="B52" t="s">
        <v>100</v>
      </c>
      <c r="C52">
        <v>8</v>
      </c>
      <c r="D52" s="1">
        <v>3.6999999999999993</v>
      </c>
      <c r="E52" s="1">
        <v>3.8455251402453356</v>
      </c>
      <c r="F52" s="1">
        <v>3.7433482064198813</v>
      </c>
    </row>
    <row r="53" spans="1:6">
      <c r="A53">
        <v>208</v>
      </c>
      <c r="B53" t="s">
        <v>101</v>
      </c>
      <c r="C53">
        <v>11</v>
      </c>
      <c r="D53" s="1">
        <v>9.8000000000000007</v>
      </c>
      <c r="E53" s="1">
        <v>4.0815000000000055</v>
      </c>
      <c r="F53" s="1">
        <v>3.242999999999995</v>
      </c>
    </row>
    <row r="54" spans="1:6">
      <c r="A54">
        <v>212</v>
      </c>
      <c r="B54" t="s">
        <v>102</v>
      </c>
      <c r="C54">
        <v>4</v>
      </c>
      <c r="D54" s="1">
        <v>51.9</v>
      </c>
      <c r="E54" s="1">
        <v>53.08540274239256</v>
      </c>
      <c r="F54" s="1">
        <v>22.407382691401722</v>
      </c>
    </row>
    <row r="55" spans="1:6">
      <c r="A55">
        <v>214</v>
      </c>
      <c r="B55" t="s">
        <v>103</v>
      </c>
      <c r="C55">
        <v>4</v>
      </c>
      <c r="D55" s="1">
        <v>43.2</v>
      </c>
      <c r="E55" s="1">
        <v>53.106530459738231</v>
      </c>
      <c r="F55" s="1">
        <v>28.118812550534528</v>
      </c>
    </row>
    <row r="56" spans="1:6">
      <c r="A56">
        <v>218</v>
      </c>
      <c r="B56" t="s">
        <v>104</v>
      </c>
      <c r="C56">
        <v>6</v>
      </c>
      <c r="D56" s="1">
        <v>24.1</v>
      </c>
      <c r="E56" s="1">
        <v>22.12474466491291</v>
      </c>
      <c r="F56" s="1">
        <v>5.0090000000000003</v>
      </c>
    </row>
    <row r="57" spans="1:6">
      <c r="A57">
        <v>222</v>
      </c>
      <c r="B57" t="s">
        <v>105</v>
      </c>
      <c r="C57">
        <v>4</v>
      </c>
      <c r="D57" s="1">
        <v>12.787212787212788</v>
      </c>
      <c r="E57" s="1">
        <v>15.978739033422215</v>
      </c>
      <c r="F57" s="1">
        <v>13.961988015442287</v>
      </c>
    </row>
    <row r="58" spans="1:6">
      <c r="A58">
        <v>226</v>
      </c>
      <c r="B58" t="s">
        <v>106</v>
      </c>
      <c r="C58">
        <v>8</v>
      </c>
      <c r="D58" s="1">
        <v>6.1000000000000005</v>
      </c>
      <c r="E58" s="1">
        <v>5.0036983800073145</v>
      </c>
      <c r="F58" s="1">
        <v>6.0748081268036813</v>
      </c>
    </row>
    <row r="59" spans="1:6">
      <c r="A59">
        <v>231</v>
      </c>
      <c r="B59" t="s">
        <v>107</v>
      </c>
      <c r="C59">
        <v>9</v>
      </c>
      <c r="D59" s="1">
        <v>1.4</v>
      </c>
      <c r="E59" s="1">
        <v>1.9158679660784799</v>
      </c>
      <c r="F59" s="1">
        <v>19.541999999999987</v>
      </c>
    </row>
    <row r="60" spans="1:6">
      <c r="A60">
        <v>232</v>
      </c>
      <c r="B60" t="s">
        <v>108</v>
      </c>
      <c r="C60">
        <v>9</v>
      </c>
      <c r="D60" s="1">
        <v>4.8000000000000007</v>
      </c>
      <c r="E60" s="1">
        <v>5.0255064843922312</v>
      </c>
      <c r="F60" s="1">
        <v>11.569640223323717</v>
      </c>
    </row>
    <row r="61" spans="1:6">
      <c r="A61">
        <v>233</v>
      </c>
      <c r="B61" t="s">
        <v>109</v>
      </c>
      <c r="C61">
        <v>12</v>
      </c>
      <c r="D61" s="1">
        <v>4.4000000000000004</v>
      </c>
      <c r="E61" s="1">
        <v>9.5635000000000048</v>
      </c>
      <c r="F61" s="1">
        <v>5.4435000000000002</v>
      </c>
    </row>
    <row r="62" spans="1:6">
      <c r="A62">
        <v>234</v>
      </c>
      <c r="B62" t="s">
        <v>110</v>
      </c>
      <c r="C62">
        <v>11</v>
      </c>
      <c r="D62" s="1">
        <v>8.4003177346726652</v>
      </c>
      <c r="E62" s="1">
        <v>9.0967570661043027</v>
      </c>
      <c r="F62" s="1">
        <v>9.0967570661043027</v>
      </c>
    </row>
    <row r="63" spans="1:6">
      <c r="A63">
        <v>238</v>
      </c>
      <c r="B63" t="s">
        <v>111</v>
      </c>
      <c r="C63">
        <v>6</v>
      </c>
      <c r="D63" s="1">
        <v>16.99053072108444</v>
      </c>
      <c r="E63" s="1">
        <v>12.305684454151688</v>
      </c>
      <c r="F63" s="1">
        <v>5.5685000000000002</v>
      </c>
    </row>
    <row r="64" spans="1:6">
      <c r="A64">
        <v>242</v>
      </c>
      <c r="B64" t="s">
        <v>112</v>
      </c>
      <c r="C64">
        <v>24</v>
      </c>
      <c r="D64" s="1">
        <v>11.994230036535139</v>
      </c>
      <c r="E64" s="1">
        <v>13.900500000000008</v>
      </c>
      <c r="F64" s="1">
        <v>8.1034999999999968</v>
      </c>
    </row>
    <row r="65" spans="1:6">
      <c r="A65">
        <v>246</v>
      </c>
      <c r="B65" t="s">
        <v>113</v>
      </c>
      <c r="C65">
        <v>11</v>
      </c>
      <c r="D65" s="1">
        <v>0.69930069930069927</v>
      </c>
      <c r="E65" s="1">
        <v>0.64486092523102911</v>
      </c>
      <c r="F65" s="1">
        <v>1.9085000000000036</v>
      </c>
    </row>
    <row r="66" spans="1:6">
      <c r="A66">
        <v>250</v>
      </c>
      <c r="B66" t="s">
        <v>114</v>
      </c>
      <c r="C66">
        <v>11</v>
      </c>
      <c r="D66" s="1">
        <v>17.8</v>
      </c>
      <c r="E66" s="1">
        <v>6.3816815018224418</v>
      </c>
      <c r="F66" s="1">
        <v>2.2420000000000044</v>
      </c>
    </row>
    <row r="67" spans="1:6">
      <c r="A67">
        <v>254</v>
      </c>
      <c r="B67" t="s">
        <v>115</v>
      </c>
      <c r="C67">
        <v>6</v>
      </c>
      <c r="D67" s="1">
        <v>41.1</v>
      </c>
      <c r="E67" s="1">
        <v>36.591246105055731</v>
      </c>
      <c r="F67" s="1">
        <v>12.008840345268126</v>
      </c>
    </row>
    <row r="68" spans="1:6">
      <c r="A68">
        <v>262</v>
      </c>
      <c r="B68" t="s">
        <v>116</v>
      </c>
      <c r="C68">
        <v>9</v>
      </c>
      <c r="D68" s="1">
        <v>2.5161100232711084</v>
      </c>
      <c r="E68" s="1">
        <v>3.2522712607927673</v>
      </c>
      <c r="F68" s="1">
        <v>3.1478847896787698</v>
      </c>
    </row>
    <row r="69" spans="1:6">
      <c r="A69">
        <v>266</v>
      </c>
      <c r="B69" t="s">
        <v>117</v>
      </c>
      <c r="C69">
        <v>8</v>
      </c>
      <c r="D69" s="1">
        <v>0</v>
      </c>
      <c r="E69" s="1">
        <v>0</v>
      </c>
      <c r="F69" s="1">
        <v>0</v>
      </c>
    </row>
    <row r="70" spans="1:6">
      <c r="A70">
        <v>268</v>
      </c>
      <c r="B70" t="s">
        <v>118</v>
      </c>
      <c r="C70">
        <v>16</v>
      </c>
      <c r="D70" s="1">
        <v>1.7</v>
      </c>
      <c r="E70" s="1">
        <v>1.5512804355535081</v>
      </c>
      <c r="F70" s="1">
        <v>6.3217570004064214</v>
      </c>
    </row>
    <row r="71" spans="1:6">
      <c r="A71">
        <v>270</v>
      </c>
      <c r="B71" t="s">
        <v>119</v>
      </c>
      <c r="C71">
        <v>8</v>
      </c>
      <c r="D71" s="1">
        <v>15.184815184815186</v>
      </c>
      <c r="E71" s="1">
        <v>17.544800211951049</v>
      </c>
      <c r="F71" s="1">
        <v>17.46296988829522</v>
      </c>
    </row>
    <row r="72" spans="1:6">
      <c r="A72">
        <v>276</v>
      </c>
      <c r="B72" t="s">
        <v>120</v>
      </c>
      <c r="C72">
        <v>11</v>
      </c>
      <c r="D72" s="1">
        <v>3.5</v>
      </c>
      <c r="E72" s="1">
        <v>3.4000000000000057</v>
      </c>
      <c r="F72" s="1">
        <v>3.2119999999999891</v>
      </c>
    </row>
    <row r="73" spans="1:6">
      <c r="A73">
        <v>288</v>
      </c>
      <c r="B73" t="s">
        <v>121</v>
      </c>
      <c r="C73">
        <v>8</v>
      </c>
      <c r="D73" s="1">
        <v>11.211211211211211</v>
      </c>
      <c r="E73" s="1">
        <v>15.137843188309816</v>
      </c>
      <c r="F73" s="1">
        <v>15.055349776170075</v>
      </c>
    </row>
    <row r="74" spans="1:6">
      <c r="A74">
        <v>300</v>
      </c>
      <c r="B74" t="s">
        <v>122</v>
      </c>
      <c r="C74">
        <v>11</v>
      </c>
      <c r="D74" s="1">
        <v>29.3</v>
      </c>
      <c r="E74" s="1">
        <v>11.166999999999987</v>
      </c>
      <c r="F74" s="1">
        <v>6.7680000000000007</v>
      </c>
    </row>
    <row r="75" spans="1:6">
      <c r="A75">
        <v>304</v>
      </c>
      <c r="B75" t="s">
        <v>123</v>
      </c>
      <c r="C75">
        <v>27</v>
      </c>
      <c r="D75" s="1">
        <v>9.8000000000000007</v>
      </c>
      <c r="E75" s="1">
        <v>4.3485000000000014</v>
      </c>
      <c r="F75" s="1">
        <v>4.3485000000000014</v>
      </c>
    </row>
    <row r="76" spans="1:6">
      <c r="A76">
        <v>308</v>
      </c>
      <c r="B76" t="s">
        <v>124</v>
      </c>
      <c r="C76">
        <v>4</v>
      </c>
      <c r="D76" s="1">
        <v>56.443556443556446</v>
      </c>
      <c r="E76" s="1">
        <v>58.645552483462737</v>
      </c>
      <c r="F76" s="1">
        <v>33.833766392582262</v>
      </c>
    </row>
    <row r="77" spans="1:6">
      <c r="A77">
        <v>312</v>
      </c>
      <c r="B77" t="s">
        <v>125</v>
      </c>
      <c r="C77">
        <v>4</v>
      </c>
      <c r="D77" s="1">
        <v>44.544544544544543</v>
      </c>
      <c r="E77" s="1">
        <v>34.968733213366605</v>
      </c>
      <c r="F77" s="1">
        <v>1.5808946781433661</v>
      </c>
    </row>
    <row r="78" spans="1:6">
      <c r="A78">
        <v>320</v>
      </c>
      <c r="B78" t="s">
        <v>126</v>
      </c>
      <c r="C78">
        <v>4</v>
      </c>
      <c r="D78" s="1">
        <v>9.1</v>
      </c>
      <c r="E78" s="1">
        <v>11.140180023493059</v>
      </c>
      <c r="F78" s="1">
        <v>10.31450000000001</v>
      </c>
    </row>
    <row r="79" spans="1:6">
      <c r="A79">
        <v>324</v>
      </c>
      <c r="B79" t="s">
        <v>127</v>
      </c>
      <c r="C79">
        <v>8</v>
      </c>
      <c r="D79" s="1">
        <v>6</v>
      </c>
      <c r="E79" s="1">
        <v>9.6123032797568229</v>
      </c>
      <c r="F79" s="1">
        <v>9.5360107297318706</v>
      </c>
    </row>
    <row r="80" spans="1:6">
      <c r="A80">
        <v>328</v>
      </c>
      <c r="B80" t="s">
        <v>128</v>
      </c>
      <c r="C80">
        <v>6</v>
      </c>
      <c r="D80" s="1">
        <v>53.446553446553452</v>
      </c>
      <c r="E80" s="1">
        <v>64.16626860379337</v>
      </c>
      <c r="F80" s="1">
        <v>51.966416859796951</v>
      </c>
    </row>
    <row r="81" spans="1:6">
      <c r="A81">
        <v>332</v>
      </c>
      <c r="B81" t="s">
        <v>129</v>
      </c>
      <c r="C81">
        <v>4</v>
      </c>
      <c r="D81" s="1">
        <v>7.4074074074074066</v>
      </c>
      <c r="E81" s="1">
        <v>12.019997371213108</v>
      </c>
      <c r="F81" s="1">
        <v>8.3849999999999909</v>
      </c>
    </row>
    <row r="82" spans="1:6">
      <c r="A82">
        <v>340</v>
      </c>
      <c r="B82" t="s">
        <v>130</v>
      </c>
      <c r="C82">
        <v>4</v>
      </c>
      <c r="D82" s="1">
        <v>21.8</v>
      </c>
      <c r="E82" s="1">
        <v>24.52852693498609</v>
      </c>
      <c r="F82" s="1">
        <v>9.5334999999999894</v>
      </c>
    </row>
    <row r="83" spans="1:6">
      <c r="A83">
        <v>344</v>
      </c>
      <c r="B83" t="s">
        <v>131</v>
      </c>
      <c r="C83">
        <v>20</v>
      </c>
      <c r="D83" s="1">
        <v>0</v>
      </c>
      <c r="E83" s="1">
        <v>0</v>
      </c>
      <c r="F83" s="1">
        <v>0</v>
      </c>
    </row>
    <row r="84" spans="1:6">
      <c r="A84">
        <v>348</v>
      </c>
      <c r="B84" t="s">
        <v>132</v>
      </c>
      <c r="C84">
        <v>12</v>
      </c>
      <c r="D84" s="1">
        <v>17.600000000000001</v>
      </c>
      <c r="E84" s="1">
        <v>10.162500000000009</v>
      </c>
      <c r="F84" s="1">
        <v>5.7295000000000016</v>
      </c>
    </row>
    <row r="85" spans="1:6">
      <c r="A85">
        <v>352</v>
      </c>
      <c r="B85" t="s">
        <v>133</v>
      </c>
      <c r="C85">
        <v>11</v>
      </c>
      <c r="D85" s="1">
        <v>7.8</v>
      </c>
      <c r="E85" s="1">
        <v>1.9320000000000022</v>
      </c>
      <c r="F85" s="1">
        <v>1.9320000000000022</v>
      </c>
    </row>
    <row r="86" spans="1:6">
      <c r="A86">
        <v>356</v>
      </c>
      <c r="B86" t="s">
        <v>134</v>
      </c>
      <c r="C86">
        <v>18</v>
      </c>
      <c r="D86" s="1">
        <v>24.2</v>
      </c>
      <c r="E86" s="1">
        <v>30.394608169160563</v>
      </c>
      <c r="F86" s="1">
        <v>23.473053699619896</v>
      </c>
    </row>
    <row r="87" spans="1:6">
      <c r="A87">
        <v>360</v>
      </c>
      <c r="B87" t="s">
        <v>135</v>
      </c>
      <c r="C87">
        <v>22</v>
      </c>
      <c r="D87" s="1">
        <v>57.257257257257251</v>
      </c>
      <c r="E87" s="1">
        <v>53.007508477495669</v>
      </c>
      <c r="F87" s="1">
        <v>24.436641265135563</v>
      </c>
    </row>
    <row r="88" spans="1:6">
      <c r="A88">
        <v>364</v>
      </c>
      <c r="B88" t="s">
        <v>136</v>
      </c>
      <c r="C88">
        <v>17</v>
      </c>
      <c r="D88" s="1">
        <v>1</v>
      </c>
      <c r="E88" s="1">
        <v>1.2736102991866147</v>
      </c>
      <c r="F88" s="1">
        <v>1.2419778781578117</v>
      </c>
    </row>
    <row r="89" spans="1:6">
      <c r="A89">
        <v>368</v>
      </c>
      <c r="B89" t="s">
        <v>137</v>
      </c>
      <c r="C89">
        <v>17</v>
      </c>
      <c r="D89" s="1">
        <v>47.747747747747745</v>
      </c>
      <c r="E89" s="1">
        <v>53.359369855853707</v>
      </c>
      <c r="F89" s="1">
        <v>21.102396187501171</v>
      </c>
    </row>
    <row r="90" spans="1:6">
      <c r="A90">
        <v>372</v>
      </c>
      <c r="B90" t="s">
        <v>138</v>
      </c>
      <c r="C90">
        <v>11</v>
      </c>
      <c r="D90" s="1">
        <v>28.628628628628626</v>
      </c>
      <c r="E90" s="1">
        <v>18.354439742763319</v>
      </c>
      <c r="F90" s="1">
        <v>6.4864999999999924</v>
      </c>
    </row>
    <row r="91" spans="1:6">
      <c r="A91">
        <v>376</v>
      </c>
      <c r="B91" t="s">
        <v>139</v>
      </c>
      <c r="C91">
        <v>17</v>
      </c>
      <c r="D91" s="1">
        <v>0.9</v>
      </c>
      <c r="E91" s="1">
        <v>0.90000000000000568</v>
      </c>
      <c r="F91" s="1">
        <v>0.90000000000000568</v>
      </c>
    </row>
    <row r="92" spans="1:6">
      <c r="A92">
        <v>380</v>
      </c>
      <c r="B92" t="s">
        <v>140</v>
      </c>
      <c r="C92">
        <v>11</v>
      </c>
      <c r="D92" s="1">
        <v>0</v>
      </c>
      <c r="E92" s="1">
        <v>6.2999999999999972</v>
      </c>
      <c r="F92" s="1">
        <v>5.3769999999999953</v>
      </c>
    </row>
    <row r="93" spans="1:6">
      <c r="A93">
        <v>384</v>
      </c>
      <c r="B93" t="s">
        <v>141</v>
      </c>
      <c r="C93">
        <v>8</v>
      </c>
      <c r="D93" s="1">
        <v>12.9</v>
      </c>
      <c r="E93" s="1">
        <v>16.214757927097295</v>
      </c>
      <c r="F93" s="1">
        <v>16.145739171040773</v>
      </c>
    </row>
    <row r="94" spans="1:6">
      <c r="A94">
        <v>388</v>
      </c>
      <c r="B94" t="s">
        <v>142</v>
      </c>
      <c r="C94">
        <v>4</v>
      </c>
      <c r="D94" s="1">
        <v>28.4</v>
      </c>
      <c r="E94" s="1">
        <v>24.672798614130649</v>
      </c>
      <c r="F94" s="1">
        <v>24.613514210035973</v>
      </c>
    </row>
    <row r="95" spans="1:6">
      <c r="A95">
        <v>392</v>
      </c>
      <c r="B95" t="s">
        <v>143</v>
      </c>
      <c r="C95">
        <v>23</v>
      </c>
      <c r="D95" s="1">
        <v>22.37762237762238</v>
      </c>
      <c r="E95" s="1">
        <v>16.155961431429503</v>
      </c>
      <c r="F95" s="1">
        <v>5.13900000000001</v>
      </c>
    </row>
    <row r="96" spans="1:6">
      <c r="A96">
        <v>398</v>
      </c>
      <c r="B96" t="s">
        <v>144</v>
      </c>
      <c r="C96">
        <v>15</v>
      </c>
      <c r="D96" s="1">
        <v>5.7</v>
      </c>
      <c r="E96" s="1">
        <v>7.7486132604675291</v>
      </c>
      <c r="F96" s="1">
        <v>7.721422042673538</v>
      </c>
    </row>
    <row r="97" spans="1:6">
      <c r="A97">
        <v>400</v>
      </c>
      <c r="B97" t="s">
        <v>145</v>
      </c>
      <c r="C97">
        <v>17</v>
      </c>
      <c r="D97" s="1">
        <v>38.200000000000003</v>
      </c>
      <c r="E97" s="1">
        <v>5.4510000000000076</v>
      </c>
      <c r="F97" s="1">
        <v>2.8780000000000001</v>
      </c>
    </row>
    <row r="98" spans="1:6">
      <c r="A98">
        <v>404</v>
      </c>
      <c r="B98" t="s">
        <v>146</v>
      </c>
      <c r="C98">
        <v>9</v>
      </c>
      <c r="D98" s="1">
        <v>2.697302697302697</v>
      </c>
      <c r="E98" s="1">
        <v>3.4340183165877463</v>
      </c>
      <c r="F98" s="1">
        <v>14.360785094563994</v>
      </c>
    </row>
    <row r="99" spans="1:6">
      <c r="A99">
        <v>408</v>
      </c>
      <c r="B99" t="s">
        <v>147</v>
      </c>
      <c r="C99">
        <v>19</v>
      </c>
      <c r="D99" s="1">
        <v>4.9950049950049955</v>
      </c>
      <c r="E99" s="1">
        <v>8.1630924045269211</v>
      </c>
      <c r="F99" s="1">
        <v>8.1284697214582451</v>
      </c>
    </row>
    <row r="100" spans="1:6">
      <c r="A100">
        <v>410</v>
      </c>
      <c r="B100" t="s">
        <v>148</v>
      </c>
      <c r="C100">
        <v>19</v>
      </c>
      <c r="D100" s="1">
        <v>9</v>
      </c>
      <c r="E100" s="1">
        <v>3.5999999999999943</v>
      </c>
      <c r="F100" s="1">
        <v>1.3039999999999878</v>
      </c>
    </row>
    <row r="101" spans="1:6">
      <c r="A101">
        <v>414</v>
      </c>
      <c r="B101" t="s">
        <v>149</v>
      </c>
      <c r="C101">
        <v>17</v>
      </c>
      <c r="D101" s="1">
        <v>0</v>
      </c>
      <c r="E101" s="1">
        <v>0</v>
      </c>
      <c r="F101" s="1">
        <v>0</v>
      </c>
    </row>
    <row r="102" spans="1:6">
      <c r="A102">
        <v>417</v>
      </c>
      <c r="B102" t="s">
        <v>150</v>
      </c>
      <c r="C102">
        <v>15</v>
      </c>
      <c r="D102" s="1">
        <v>0.7</v>
      </c>
      <c r="E102" s="1">
        <v>0.42591669630385809</v>
      </c>
      <c r="F102" s="1">
        <v>0.35422333646792481</v>
      </c>
    </row>
    <row r="103" spans="1:6">
      <c r="A103">
        <v>418</v>
      </c>
      <c r="B103" t="s">
        <v>151</v>
      </c>
      <c r="C103">
        <v>21</v>
      </c>
      <c r="D103" s="1">
        <v>55.484106836793835</v>
      </c>
      <c r="E103" s="1">
        <v>51.032107245623436</v>
      </c>
      <c r="F103" s="1">
        <v>15.549528628830231</v>
      </c>
    </row>
    <row r="104" spans="1:6">
      <c r="A104">
        <v>422</v>
      </c>
      <c r="B104" t="s">
        <v>152</v>
      </c>
      <c r="C104">
        <v>17</v>
      </c>
      <c r="D104" s="1">
        <v>0.7</v>
      </c>
      <c r="E104" s="1">
        <v>0.67815783234733829</v>
      </c>
      <c r="F104" s="1">
        <v>2.9590000000000032</v>
      </c>
    </row>
    <row r="105" spans="1:6">
      <c r="A105">
        <v>426</v>
      </c>
      <c r="B105" t="s">
        <v>153</v>
      </c>
      <c r="C105">
        <v>26</v>
      </c>
      <c r="D105" s="1">
        <v>0.89999999999999991</v>
      </c>
      <c r="E105" s="1">
        <v>1.0564079116652962</v>
      </c>
      <c r="F105" s="1">
        <v>0.97137706874650576</v>
      </c>
    </row>
    <row r="106" spans="1:6">
      <c r="A106">
        <v>428</v>
      </c>
      <c r="B106" t="s">
        <v>154</v>
      </c>
      <c r="C106">
        <v>12</v>
      </c>
      <c r="D106" s="1">
        <v>4.0999999999999996</v>
      </c>
      <c r="E106" s="1">
        <v>10.299999999999997</v>
      </c>
      <c r="F106" s="1">
        <v>5.9230000000000018</v>
      </c>
    </row>
    <row r="107" spans="1:6">
      <c r="A107">
        <v>430</v>
      </c>
      <c r="B107" t="s">
        <v>155</v>
      </c>
      <c r="C107">
        <v>8</v>
      </c>
      <c r="D107" s="1">
        <v>12.912912912912912</v>
      </c>
      <c r="E107" s="1">
        <v>19.323283086556486</v>
      </c>
      <c r="F107" s="1">
        <v>9.9739999999999895</v>
      </c>
    </row>
    <row r="108" spans="1:6">
      <c r="A108">
        <v>434</v>
      </c>
      <c r="B108" t="s">
        <v>156</v>
      </c>
      <c r="C108">
        <v>7</v>
      </c>
      <c r="D108" s="1">
        <v>8.3916083916083917</v>
      </c>
      <c r="E108" s="1">
        <v>8.2563271761832908</v>
      </c>
      <c r="F108" s="1">
        <v>3.0240000000000009</v>
      </c>
    </row>
    <row r="109" spans="1:6">
      <c r="A109">
        <v>438</v>
      </c>
      <c r="B109" t="s">
        <v>157</v>
      </c>
      <c r="C109">
        <v>11</v>
      </c>
      <c r="D109" s="1">
        <v>0</v>
      </c>
      <c r="E109" s="1">
        <v>0</v>
      </c>
      <c r="F109" s="1">
        <v>0</v>
      </c>
    </row>
    <row r="110" spans="1:6">
      <c r="A110">
        <v>440</v>
      </c>
      <c r="B110" t="s">
        <v>158</v>
      </c>
      <c r="C110">
        <v>12</v>
      </c>
      <c r="D110" s="1">
        <v>0</v>
      </c>
      <c r="E110" s="1">
        <v>7.2000000000000028</v>
      </c>
      <c r="F110" s="1">
        <v>5.3769999999999953</v>
      </c>
    </row>
    <row r="111" spans="1:6">
      <c r="A111">
        <v>442</v>
      </c>
      <c r="B111" t="s">
        <v>159</v>
      </c>
      <c r="C111">
        <v>11</v>
      </c>
      <c r="D111" s="1">
        <v>2.2000000000000002</v>
      </c>
      <c r="E111" s="1">
        <v>1.9000000000000057</v>
      </c>
      <c r="F111" s="1">
        <v>1.9000000000000057</v>
      </c>
    </row>
    <row r="112" spans="1:6">
      <c r="A112">
        <v>450</v>
      </c>
      <c r="B112" t="s">
        <v>160</v>
      </c>
      <c r="C112">
        <v>9</v>
      </c>
      <c r="D112" s="1">
        <v>3.9999999999999996</v>
      </c>
      <c r="E112" s="1">
        <v>5.1151348046065905</v>
      </c>
      <c r="F112" s="1">
        <v>13.557500000000005</v>
      </c>
    </row>
    <row r="113" spans="1:6">
      <c r="A113">
        <v>454</v>
      </c>
      <c r="B113" t="s">
        <v>161</v>
      </c>
      <c r="C113">
        <v>26</v>
      </c>
      <c r="D113" s="1">
        <v>2.6</v>
      </c>
      <c r="E113" s="1">
        <v>2.821953406994858</v>
      </c>
      <c r="F113" s="1">
        <v>17.6875</v>
      </c>
    </row>
    <row r="114" spans="1:6">
      <c r="A114">
        <v>458</v>
      </c>
      <c r="B114" t="s">
        <v>162</v>
      </c>
      <c r="C114">
        <v>21</v>
      </c>
      <c r="D114" s="1">
        <v>25.225225225225223</v>
      </c>
      <c r="E114" s="1">
        <v>7.6529999999999916</v>
      </c>
      <c r="F114" s="1">
        <v>3.2404999999999973</v>
      </c>
    </row>
    <row r="115" spans="1:6">
      <c r="A115">
        <v>466</v>
      </c>
      <c r="B115" t="s">
        <v>163</v>
      </c>
      <c r="C115">
        <v>8</v>
      </c>
      <c r="D115" s="1">
        <v>2.2022022022022023</v>
      </c>
      <c r="E115" s="1">
        <v>3.6261993478555752</v>
      </c>
      <c r="F115" s="1">
        <v>4.6560068738545937</v>
      </c>
    </row>
    <row r="116" spans="1:6">
      <c r="A116">
        <v>470</v>
      </c>
      <c r="B116" t="s">
        <v>164</v>
      </c>
      <c r="C116">
        <v>12</v>
      </c>
      <c r="D116" s="1">
        <v>1.5</v>
      </c>
      <c r="E116" s="1">
        <v>1.2729999999999961</v>
      </c>
      <c r="F116" s="1">
        <v>1.2729999999999961</v>
      </c>
    </row>
    <row r="117" spans="1:6">
      <c r="A117">
        <v>474</v>
      </c>
      <c r="B117" t="s">
        <v>165</v>
      </c>
      <c r="C117">
        <v>4</v>
      </c>
      <c r="D117" s="1">
        <v>50.94905094905095</v>
      </c>
      <c r="E117" s="1">
        <v>28.129572374205765</v>
      </c>
      <c r="F117" s="1">
        <v>3.9159999999999968</v>
      </c>
    </row>
    <row r="118" spans="1:6">
      <c r="A118">
        <v>478</v>
      </c>
      <c r="B118" t="s">
        <v>166</v>
      </c>
      <c r="C118">
        <v>8</v>
      </c>
      <c r="D118" s="1">
        <v>12.887112887112888</v>
      </c>
      <c r="E118" s="1">
        <v>13.739277480136721</v>
      </c>
      <c r="F118" s="1">
        <v>13.667277808576685</v>
      </c>
    </row>
    <row r="119" spans="1:6">
      <c r="A119">
        <v>480</v>
      </c>
      <c r="B119" t="s">
        <v>167</v>
      </c>
      <c r="C119">
        <v>9</v>
      </c>
      <c r="D119" s="1">
        <v>6.6</v>
      </c>
      <c r="E119" s="1">
        <v>6.6761528316709047</v>
      </c>
      <c r="F119" s="1">
        <v>6.6273734422072295</v>
      </c>
    </row>
    <row r="120" spans="1:6">
      <c r="A120">
        <v>484</v>
      </c>
      <c r="B120" t="s">
        <v>168</v>
      </c>
      <c r="C120">
        <v>3</v>
      </c>
      <c r="D120" s="1">
        <v>14.414414414414413</v>
      </c>
      <c r="E120" s="1">
        <v>6.7725431047919784</v>
      </c>
      <c r="F120" s="1">
        <v>2.7115000000000009</v>
      </c>
    </row>
    <row r="121" spans="1:6">
      <c r="A121">
        <v>496</v>
      </c>
      <c r="B121" t="s">
        <v>169</v>
      </c>
      <c r="C121">
        <v>20</v>
      </c>
      <c r="D121" s="1">
        <v>0.2</v>
      </c>
      <c r="E121" s="1">
        <v>0.10437990503444894</v>
      </c>
      <c r="F121" s="1">
        <v>6.4435000000000002</v>
      </c>
    </row>
    <row r="122" spans="1:6">
      <c r="A122">
        <v>498</v>
      </c>
      <c r="B122" t="s">
        <v>170</v>
      </c>
      <c r="C122">
        <v>14</v>
      </c>
      <c r="D122" s="1">
        <v>9.1</v>
      </c>
      <c r="E122" s="1">
        <v>9.0348877200245425</v>
      </c>
      <c r="F122" s="1">
        <v>8.99682044413656</v>
      </c>
    </row>
    <row r="123" spans="1:6">
      <c r="A123">
        <v>500</v>
      </c>
      <c r="B123" t="s">
        <v>171</v>
      </c>
      <c r="C123">
        <v>4</v>
      </c>
      <c r="D123" s="1">
        <v>24.26209901908236</v>
      </c>
      <c r="E123" s="1">
        <v>27.410322667076649</v>
      </c>
      <c r="F123" s="1">
        <v>15.510500000000008</v>
      </c>
    </row>
    <row r="124" spans="1:6">
      <c r="A124">
        <v>504</v>
      </c>
      <c r="B124" t="s">
        <v>172</v>
      </c>
      <c r="C124">
        <v>7</v>
      </c>
      <c r="D124" s="1">
        <v>21.3</v>
      </c>
      <c r="E124" s="1">
        <v>16.585889302224786</v>
      </c>
      <c r="F124" s="1">
        <v>8.9359999999999928</v>
      </c>
    </row>
    <row r="125" spans="1:6">
      <c r="A125">
        <v>508</v>
      </c>
      <c r="B125" t="s">
        <v>173</v>
      </c>
      <c r="C125">
        <v>26</v>
      </c>
      <c r="D125" s="1">
        <v>4.5999999999999996</v>
      </c>
      <c r="E125" s="1">
        <v>6.4379858322892645</v>
      </c>
      <c r="F125" s="1">
        <v>6.3291762468779069</v>
      </c>
    </row>
    <row r="126" spans="1:6">
      <c r="A126">
        <v>512</v>
      </c>
      <c r="B126" t="s">
        <v>174</v>
      </c>
      <c r="C126">
        <v>17</v>
      </c>
      <c r="D126" s="1">
        <v>85.4</v>
      </c>
      <c r="E126" s="1">
        <v>80.273727027453958</v>
      </c>
      <c r="F126" s="1">
        <v>60.082189120472833</v>
      </c>
    </row>
    <row r="127" spans="1:6">
      <c r="A127">
        <v>516</v>
      </c>
      <c r="B127" t="s">
        <v>175</v>
      </c>
      <c r="C127">
        <v>26</v>
      </c>
      <c r="D127" s="1">
        <v>1.6983016983016983</v>
      </c>
      <c r="E127" s="1">
        <v>1.3752367287316289</v>
      </c>
      <c r="F127" s="1">
        <v>1.3370364353688871</v>
      </c>
    </row>
    <row r="128" spans="1:6">
      <c r="A128">
        <v>524</v>
      </c>
      <c r="B128" t="s">
        <v>176</v>
      </c>
      <c r="C128">
        <v>25</v>
      </c>
      <c r="D128" s="1">
        <v>33.200000000000003</v>
      </c>
      <c r="E128" s="1">
        <v>44.468883504749911</v>
      </c>
      <c r="F128" s="1">
        <v>18.284499999999994</v>
      </c>
    </row>
    <row r="129" spans="1:6">
      <c r="A129">
        <v>528</v>
      </c>
      <c r="B129" t="s">
        <v>177</v>
      </c>
      <c r="C129">
        <v>11</v>
      </c>
      <c r="D129" s="1">
        <v>0.6</v>
      </c>
      <c r="E129" s="1">
        <v>0.5</v>
      </c>
      <c r="F129" s="1">
        <v>0.5</v>
      </c>
    </row>
    <row r="130" spans="1:6">
      <c r="A130">
        <v>530</v>
      </c>
      <c r="B130" t="s">
        <v>178</v>
      </c>
      <c r="C130">
        <v>4</v>
      </c>
      <c r="D130" s="1">
        <v>24.26209901908236</v>
      </c>
      <c r="E130" s="1">
        <v>27.410216123964453</v>
      </c>
      <c r="F130" s="1">
        <v>7.8665760820958326</v>
      </c>
    </row>
    <row r="131" spans="1:6">
      <c r="A131">
        <v>533</v>
      </c>
      <c r="B131" t="s">
        <v>179</v>
      </c>
      <c r="C131">
        <v>4</v>
      </c>
      <c r="D131" s="1">
        <v>24.26209901908236</v>
      </c>
      <c r="E131" s="1">
        <v>27.38555296861513</v>
      </c>
      <c r="F131" s="1">
        <v>9.5564999999999998</v>
      </c>
    </row>
    <row r="132" spans="1:6">
      <c r="A132">
        <v>540</v>
      </c>
      <c r="B132" t="s">
        <v>180</v>
      </c>
      <c r="C132">
        <v>24</v>
      </c>
      <c r="D132" s="1">
        <v>12.749609791109666</v>
      </c>
      <c r="E132" s="1">
        <v>14.019292307167831</v>
      </c>
      <c r="F132" s="1">
        <v>8.1474999999999937</v>
      </c>
    </row>
    <row r="133" spans="1:6">
      <c r="A133">
        <v>548</v>
      </c>
      <c r="B133" t="s">
        <v>181</v>
      </c>
      <c r="C133">
        <v>24</v>
      </c>
      <c r="D133" s="1">
        <v>19.780219780219781</v>
      </c>
      <c r="E133" s="1">
        <v>20.03496709563985</v>
      </c>
      <c r="F133" s="1">
        <v>16.500266822358952</v>
      </c>
    </row>
    <row r="134" spans="1:6">
      <c r="A134">
        <v>554</v>
      </c>
      <c r="B134" t="s">
        <v>182</v>
      </c>
      <c r="C134">
        <v>24</v>
      </c>
      <c r="D134" s="1">
        <v>12.7</v>
      </c>
      <c r="E134" s="1">
        <v>8.2317249303318079</v>
      </c>
      <c r="F134" s="1">
        <v>2.5379999999999967</v>
      </c>
    </row>
    <row r="135" spans="1:6">
      <c r="A135">
        <v>558</v>
      </c>
      <c r="B135" t="s">
        <v>183</v>
      </c>
      <c r="C135">
        <v>4</v>
      </c>
      <c r="D135" s="1">
        <v>8</v>
      </c>
      <c r="E135" s="1">
        <v>9.912140714540314</v>
      </c>
      <c r="F135" s="1">
        <v>10.634</v>
      </c>
    </row>
    <row r="136" spans="1:6">
      <c r="A136">
        <v>562</v>
      </c>
      <c r="B136" t="s">
        <v>184</v>
      </c>
      <c r="C136">
        <v>8</v>
      </c>
      <c r="D136" s="1">
        <v>1.9</v>
      </c>
      <c r="E136" s="1">
        <v>2.7169667171713954</v>
      </c>
      <c r="F136" s="1">
        <v>19.795500000000004</v>
      </c>
    </row>
    <row r="137" spans="1:6">
      <c r="A137">
        <v>566</v>
      </c>
      <c r="B137" t="s">
        <v>185</v>
      </c>
      <c r="C137">
        <v>8</v>
      </c>
      <c r="D137" s="1">
        <v>10.899999999999999</v>
      </c>
      <c r="E137" s="1">
        <v>16.239802796351022</v>
      </c>
      <c r="F137" s="1">
        <v>14.535154568017433</v>
      </c>
    </row>
    <row r="138" spans="1:6">
      <c r="A138">
        <v>578</v>
      </c>
      <c r="B138" t="s">
        <v>186</v>
      </c>
      <c r="C138">
        <v>11</v>
      </c>
      <c r="D138" s="1">
        <v>16.083916083916087</v>
      </c>
      <c r="E138" s="1">
        <v>6.9867107545053528</v>
      </c>
      <c r="F138" s="1">
        <v>3.2035000000000053</v>
      </c>
    </row>
    <row r="139" spans="1:6">
      <c r="A139">
        <v>586</v>
      </c>
      <c r="B139" t="s">
        <v>187</v>
      </c>
      <c r="C139">
        <v>25</v>
      </c>
      <c r="D139" s="1">
        <v>27.6</v>
      </c>
      <c r="E139" s="1">
        <v>31.432823546221663</v>
      </c>
      <c r="F139" s="1">
        <v>12.922499999999985</v>
      </c>
    </row>
    <row r="140" spans="1:6">
      <c r="A140">
        <v>591</v>
      </c>
      <c r="B140" t="s">
        <v>188</v>
      </c>
      <c r="C140">
        <v>4</v>
      </c>
      <c r="D140" s="1">
        <v>30.400000000000006</v>
      </c>
      <c r="E140" s="1">
        <v>35.142771089394287</v>
      </c>
      <c r="F140" s="1">
        <v>15.057910237538124</v>
      </c>
    </row>
    <row r="141" spans="1:6">
      <c r="A141">
        <v>598</v>
      </c>
      <c r="B141" t="s">
        <v>189</v>
      </c>
      <c r="C141">
        <v>22</v>
      </c>
      <c r="D141" s="1">
        <v>4.4999999999999991</v>
      </c>
      <c r="E141" s="1">
        <v>4.4189330347636826</v>
      </c>
      <c r="F141" s="1">
        <v>18.650928272361796</v>
      </c>
    </row>
    <row r="142" spans="1:6">
      <c r="A142">
        <v>600</v>
      </c>
      <c r="B142" t="s">
        <v>190</v>
      </c>
      <c r="C142">
        <v>6</v>
      </c>
      <c r="D142" s="1">
        <v>38.238238238238239</v>
      </c>
      <c r="E142" s="1">
        <v>41.237185523984571</v>
      </c>
      <c r="F142" s="1">
        <v>24.768290346592465</v>
      </c>
    </row>
    <row r="143" spans="1:6">
      <c r="A143">
        <v>604</v>
      </c>
      <c r="B143" t="s">
        <v>191</v>
      </c>
      <c r="C143">
        <v>6</v>
      </c>
      <c r="D143" s="1">
        <v>8.4915084915084904</v>
      </c>
      <c r="E143" s="1">
        <v>6.961600886348208</v>
      </c>
      <c r="F143" s="1">
        <v>2.9759999999999991</v>
      </c>
    </row>
    <row r="144" spans="1:6">
      <c r="A144">
        <v>608</v>
      </c>
      <c r="B144" t="s">
        <v>192</v>
      </c>
      <c r="C144">
        <v>21</v>
      </c>
      <c r="D144" s="1">
        <v>72.372372372372382</v>
      </c>
      <c r="E144" s="1">
        <v>62.84166987833818</v>
      </c>
      <c r="F144" s="1">
        <v>23.319488116944214</v>
      </c>
    </row>
    <row r="145" spans="1:6">
      <c r="A145">
        <v>616</v>
      </c>
      <c r="B145" t="s">
        <v>193</v>
      </c>
      <c r="C145">
        <v>12</v>
      </c>
      <c r="D145" s="1">
        <v>24.8</v>
      </c>
      <c r="E145" s="1">
        <v>11.396500000000003</v>
      </c>
      <c r="F145" s="1">
        <v>6.9994999999999976</v>
      </c>
    </row>
    <row r="146" spans="1:6">
      <c r="A146">
        <v>620</v>
      </c>
      <c r="B146" t="s">
        <v>194</v>
      </c>
      <c r="C146">
        <v>11</v>
      </c>
      <c r="D146" s="1">
        <v>31.8</v>
      </c>
      <c r="E146" s="1">
        <v>24.161062861808944</v>
      </c>
      <c r="F146" s="1">
        <v>6.9834999999999923</v>
      </c>
    </row>
    <row r="147" spans="1:6">
      <c r="A147">
        <v>624</v>
      </c>
      <c r="B147" t="s">
        <v>195</v>
      </c>
      <c r="C147">
        <v>8</v>
      </c>
      <c r="D147" s="1">
        <v>9.3000000000000007</v>
      </c>
      <c r="E147" s="1">
        <v>13.141639180101272</v>
      </c>
      <c r="F147" s="1">
        <v>13.043319813444896</v>
      </c>
    </row>
    <row r="148" spans="1:6">
      <c r="A148">
        <v>626</v>
      </c>
      <c r="B148" t="s">
        <v>196</v>
      </c>
      <c r="C148">
        <v>22</v>
      </c>
      <c r="D148" s="1">
        <v>16.600000000000001</v>
      </c>
      <c r="E148" s="1">
        <v>16.608219011921975</v>
      </c>
      <c r="F148" s="1">
        <v>14.194500000000005</v>
      </c>
    </row>
    <row r="149" spans="1:6">
      <c r="A149">
        <v>630</v>
      </c>
      <c r="B149" t="s">
        <v>197</v>
      </c>
      <c r="C149">
        <v>4</v>
      </c>
      <c r="D149" s="1">
        <v>0</v>
      </c>
      <c r="E149" s="1">
        <v>0.14300000000000068</v>
      </c>
      <c r="F149" s="1">
        <v>0.14300000000000068</v>
      </c>
    </row>
    <row r="150" spans="1:6">
      <c r="A150">
        <v>634</v>
      </c>
      <c r="B150" t="s">
        <v>198</v>
      </c>
      <c r="C150">
        <v>17</v>
      </c>
      <c r="D150" s="1">
        <v>23.1</v>
      </c>
      <c r="E150" s="1">
        <v>11.001903780977599</v>
      </c>
      <c r="F150" s="1">
        <v>5.6858662461125817</v>
      </c>
    </row>
    <row r="151" spans="1:6">
      <c r="A151">
        <v>638</v>
      </c>
      <c r="B151" t="s">
        <v>199</v>
      </c>
      <c r="C151">
        <v>9</v>
      </c>
      <c r="D151" s="1">
        <v>51.1</v>
      </c>
      <c r="E151" s="1">
        <v>15.957112062206619</v>
      </c>
      <c r="F151" s="1">
        <v>1.3274999999999864</v>
      </c>
    </row>
    <row r="152" spans="1:6">
      <c r="A152">
        <v>642</v>
      </c>
      <c r="B152" t="s">
        <v>200</v>
      </c>
      <c r="C152">
        <v>12</v>
      </c>
      <c r="D152" s="1">
        <v>2.5</v>
      </c>
      <c r="E152" s="1">
        <v>1.7540041253287058</v>
      </c>
      <c r="F152" s="1">
        <v>1.7165311310031797</v>
      </c>
    </row>
    <row r="153" spans="1:6">
      <c r="A153">
        <v>643</v>
      </c>
      <c r="B153" t="s">
        <v>201</v>
      </c>
      <c r="C153">
        <v>16</v>
      </c>
      <c r="D153" s="1">
        <v>3</v>
      </c>
      <c r="E153" s="1">
        <v>5.4899272447987926</v>
      </c>
      <c r="F153" s="1">
        <v>3.542500000000004</v>
      </c>
    </row>
    <row r="154" spans="1:6">
      <c r="A154">
        <v>646</v>
      </c>
      <c r="B154" t="s">
        <v>202</v>
      </c>
      <c r="C154">
        <v>9</v>
      </c>
      <c r="D154" s="1">
        <v>0.7</v>
      </c>
      <c r="E154" s="1">
        <v>0.41832775645076481</v>
      </c>
      <c r="F154" s="1">
        <v>15.427144325866664</v>
      </c>
    </row>
    <row r="155" spans="1:6">
      <c r="A155">
        <v>659</v>
      </c>
      <c r="B155" t="s">
        <v>203</v>
      </c>
      <c r="C155">
        <v>4</v>
      </c>
      <c r="D155" s="1">
        <v>85.485485485485484</v>
      </c>
      <c r="E155" s="1">
        <v>65.971251457548703</v>
      </c>
      <c r="F155" s="1">
        <v>32.583412922325465</v>
      </c>
    </row>
    <row r="156" spans="1:6">
      <c r="A156">
        <v>660</v>
      </c>
      <c r="B156" t="s">
        <v>204</v>
      </c>
      <c r="C156">
        <v>4</v>
      </c>
      <c r="D156" s="1">
        <v>24.26209901908236</v>
      </c>
      <c r="E156" s="1">
        <v>27.402623569573642</v>
      </c>
      <c r="F156" s="1">
        <v>4.2439613125763742</v>
      </c>
    </row>
    <row r="157" spans="1:6">
      <c r="A157">
        <v>662</v>
      </c>
      <c r="B157" t="s">
        <v>205</v>
      </c>
      <c r="C157">
        <v>4</v>
      </c>
      <c r="D157" s="1">
        <v>61.4</v>
      </c>
      <c r="E157" s="1">
        <v>73.393436132626817</v>
      </c>
      <c r="F157" s="1">
        <v>43.52720919398908</v>
      </c>
    </row>
    <row r="158" spans="1:6">
      <c r="A158">
        <v>666</v>
      </c>
      <c r="B158" t="s">
        <v>206</v>
      </c>
      <c r="C158">
        <v>2</v>
      </c>
      <c r="D158" s="1">
        <v>18.518518518518519</v>
      </c>
      <c r="E158" s="1">
        <v>8.1896440271929549</v>
      </c>
      <c r="F158" s="1">
        <v>2.7439999999999998</v>
      </c>
    </row>
    <row r="159" spans="1:6">
      <c r="A159">
        <v>670</v>
      </c>
      <c r="B159" t="s">
        <v>207</v>
      </c>
      <c r="C159">
        <v>4</v>
      </c>
      <c r="D159" s="1">
        <v>61.6</v>
      </c>
      <c r="E159" s="1">
        <v>66.572645512429688</v>
      </c>
      <c r="F159" s="1">
        <v>54.824737277190259</v>
      </c>
    </row>
    <row r="160" spans="1:6">
      <c r="A160">
        <v>678</v>
      </c>
      <c r="B160" t="s">
        <v>208</v>
      </c>
      <c r="C160">
        <v>8</v>
      </c>
      <c r="D160" s="1">
        <v>9.6</v>
      </c>
      <c r="E160" s="1">
        <v>4.0423237508133312</v>
      </c>
      <c r="F160" s="1">
        <v>3.9990983034388137</v>
      </c>
    </row>
    <row r="161" spans="1:6">
      <c r="A161">
        <v>682</v>
      </c>
      <c r="B161" t="s">
        <v>209</v>
      </c>
      <c r="C161">
        <v>17</v>
      </c>
      <c r="D161" s="1">
        <v>52.352352352352348</v>
      </c>
      <c r="E161" s="1">
        <v>37.133892017976713</v>
      </c>
      <c r="F161" s="1">
        <v>20.257847013840973</v>
      </c>
    </row>
    <row r="162" spans="1:6">
      <c r="A162">
        <v>686</v>
      </c>
      <c r="B162" t="s">
        <v>210</v>
      </c>
      <c r="C162">
        <v>8</v>
      </c>
      <c r="D162" s="1">
        <v>27.9</v>
      </c>
      <c r="E162" s="1">
        <v>31.340190902284498</v>
      </c>
      <c r="F162" s="1">
        <v>17.838061205315753</v>
      </c>
    </row>
    <row r="163" spans="1:6">
      <c r="A163">
        <v>694</v>
      </c>
      <c r="B163" t="s">
        <v>211</v>
      </c>
      <c r="C163">
        <v>8</v>
      </c>
      <c r="D163" s="1">
        <v>3.6963036963036964</v>
      </c>
      <c r="E163" s="1">
        <v>4.5327850772696152</v>
      </c>
      <c r="F163" s="1">
        <v>4.4330369510411742</v>
      </c>
    </row>
    <row r="164" spans="1:6">
      <c r="A164">
        <v>702</v>
      </c>
      <c r="B164" t="s">
        <v>212</v>
      </c>
      <c r="C164">
        <v>21</v>
      </c>
      <c r="D164" s="1">
        <v>0</v>
      </c>
      <c r="E164" s="1">
        <v>0</v>
      </c>
      <c r="F164" s="1">
        <v>0</v>
      </c>
    </row>
    <row r="165" spans="1:6">
      <c r="A165">
        <v>703</v>
      </c>
      <c r="B165" t="s">
        <v>213</v>
      </c>
      <c r="C165">
        <v>12</v>
      </c>
      <c r="D165" s="1">
        <v>26.373626373626376</v>
      </c>
      <c r="E165" s="1">
        <v>14.295000000000002</v>
      </c>
      <c r="F165" s="1">
        <v>10.914500000000004</v>
      </c>
    </row>
    <row r="166" spans="1:6">
      <c r="A166">
        <v>704</v>
      </c>
      <c r="B166" t="s">
        <v>214</v>
      </c>
      <c r="C166">
        <v>21</v>
      </c>
      <c r="D166" s="1">
        <v>50.099999999999994</v>
      </c>
      <c r="E166" s="1">
        <v>65.312589882878157</v>
      </c>
      <c r="F166" s="1">
        <v>38.617852317113758</v>
      </c>
    </row>
    <row r="167" spans="1:6">
      <c r="A167">
        <v>705</v>
      </c>
      <c r="B167" t="s">
        <v>215</v>
      </c>
      <c r="C167">
        <v>12</v>
      </c>
      <c r="D167" s="1">
        <v>36</v>
      </c>
      <c r="E167" s="1">
        <v>25.925104987636047</v>
      </c>
      <c r="F167" s="1">
        <v>10.514499999999998</v>
      </c>
    </row>
    <row r="168" spans="1:6">
      <c r="A168">
        <v>706</v>
      </c>
      <c r="B168" t="s">
        <v>216</v>
      </c>
      <c r="C168">
        <v>9</v>
      </c>
      <c r="D168" s="1">
        <v>1.6999999999999997</v>
      </c>
      <c r="E168" s="1">
        <v>3.297575292949773</v>
      </c>
      <c r="F168" s="1">
        <v>12.613000000000014</v>
      </c>
    </row>
    <row r="169" spans="1:6">
      <c r="A169">
        <v>710</v>
      </c>
      <c r="B169" t="s">
        <v>217</v>
      </c>
      <c r="C169">
        <v>10</v>
      </c>
      <c r="D169" s="1">
        <v>3.1</v>
      </c>
      <c r="E169" s="1">
        <v>2.8660570221534698</v>
      </c>
      <c r="F169" s="1">
        <v>5.9552694918018005</v>
      </c>
    </row>
    <row r="170" spans="1:6">
      <c r="A170">
        <v>716</v>
      </c>
      <c r="B170" t="s">
        <v>218</v>
      </c>
      <c r="C170">
        <v>26</v>
      </c>
      <c r="D170" s="1">
        <v>3.1999999999999997</v>
      </c>
      <c r="E170" s="1">
        <v>4.4374445736435462</v>
      </c>
      <c r="F170" s="1">
        <v>12.287500000000009</v>
      </c>
    </row>
    <row r="171" spans="1:6">
      <c r="A171">
        <v>724</v>
      </c>
      <c r="B171" t="s">
        <v>219</v>
      </c>
      <c r="C171">
        <v>11</v>
      </c>
      <c r="D171" s="1">
        <v>0.9009009009009008</v>
      </c>
      <c r="E171" s="1">
        <v>0</v>
      </c>
      <c r="F171" s="1">
        <v>0</v>
      </c>
    </row>
    <row r="172" spans="1:6">
      <c r="A172">
        <v>732</v>
      </c>
      <c r="B172" t="s">
        <v>220</v>
      </c>
      <c r="C172">
        <v>7</v>
      </c>
      <c r="D172" s="1">
        <v>28.689232645070803</v>
      </c>
      <c r="E172" s="1">
        <v>7.0786878429449018</v>
      </c>
      <c r="F172" s="1">
        <v>5.0960000000000036</v>
      </c>
    </row>
    <row r="173" spans="1:6">
      <c r="A173">
        <v>736</v>
      </c>
      <c r="B173" t="s">
        <v>221</v>
      </c>
      <c r="C173">
        <v>9</v>
      </c>
      <c r="D173" s="1">
        <v>3.6963036963036959</v>
      </c>
      <c r="E173" s="1">
        <v>5.629080280369223</v>
      </c>
      <c r="F173" s="1">
        <v>9.8502421960007496</v>
      </c>
    </row>
    <row r="174" spans="1:6">
      <c r="A174">
        <v>740</v>
      </c>
      <c r="B174" t="s">
        <v>222</v>
      </c>
      <c r="C174">
        <v>6</v>
      </c>
      <c r="D174" s="1">
        <v>76.876876876876878</v>
      </c>
      <c r="E174" s="1">
        <v>79.881499328051532</v>
      </c>
      <c r="F174" s="1">
        <v>53.294797783964</v>
      </c>
    </row>
    <row r="175" spans="1:6">
      <c r="A175">
        <v>748</v>
      </c>
      <c r="B175" t="s">
        <v>223</v>
      </c>
      <c r="C175">
        <v>26</v>
      </c>
      <c r="D175" s="1">
        <v>6.334145091062882</v>
      </c>
      <c r="E175" s="1">
        <v>11.299552720130862</v>
      </c>
      <c r="F175" s="1">
        <v>11.235551728379022</v>
      </c>
    </row>
    <row r="176" spans="1:6">
      <c r="A176">
        <v>752</v>
      </c>
      <c r="B176" t="s">
        <v>224</v>
      </c>
      <c r="C176">
        <v>11</v>
      </c>
      <c r="D176" s="1">
        <v>12.7</v>
      </c>
      <c r="E176" s="1">
        <v>4.092000000000013</v>
      </c>
      <c r="F176" s="1">
        <v>2.0885000000000105</v>
      </c>
    </row>
    <row r="177" spans="1:6">
      <c r="A177">
        <v>756</v>
      </c>
      <c r="B177" t="s">
        <v>225</v>
      </c>
      <c r="C177">
        <v>11</v>
      </c>
      <c r="D177" s="1">
        <v>1.5015015015015016</v>
      </c>
      <c r="E177" s="1">
        <v>1.7999999999999972</v>
      </c>
      <c r="F177" s="1">
        <v>1.7999999999999972</v>
      </c>
    </row>
    <row r="178" spans="1:6">
      <c r="A178">
        <v>760</v>
      </c>
      <c r="B178" t="s">
        <v>226</v>
      </c>
      <c r="C178">
        <v>17</v>
      </c>
      <c r="D178" s="1">
        <v>5.6</v>
      </c>
      <c r="E178" s="1">
        <v>13.867499999999993</v>
      </c>
      <c r="F178" s="1">
        <v>10.291000000000011</v>
      </c>
    </row>
    <row r="179" spans="1:6">
      <c r="A179">
        <v>762</v>
      </c>
      <c r="B179" t="s">
        <v>227</v>
      </c>
      <c r="C179">
        <v>15</v>
      </c>
      <c r="D179" s="1">
        <v>0.60000000000000009</v>
      </c>
      <c r="E179" s="1">
        <v>0.12110798413736035</v>
      </c>
      <c r="F179" s="1">
        <v>2.5879088947477698</v>
      </c>
    </row>
    <row r="180" spans="1:6">
      <c r="A180">
        <v>764</v>
      </c>
      <c r="B180" t="s">
        <v>228</v>
      </c>
      <c r="C180">
        <v>21</v>
      </c>
      <c r="D180" s="1">
        <v>90.890890890890901</v>
      </c>
      <c r="E180" s="1">
        <v>65.171109290500482</v>
      </c>
      <c r="F180" s="1">
        <v>44.296082258135101</v>
      </c>
    </row>
    <row r="181" spans="1:6">
      <c r="A181">
        <v>768</v>
      </c>
      <c r="B181" t="s">
        <v>229</v>
      </c>
      <c r="C181">
        <v>8</v>
      </c>
      <c r="D181" s="1">
        <v>11.611611611611613</v>
      </c>
      <c r="E181" s="1">
        <v>16.827255817652365</v>
      </c>
      <c r="F181" s="1">
        <v>16.720010781995526</v>
      </c>
    </row>
    <row r="182" spans="1:6">
      <c r="A182">
        <v>776</v>
      </c>
      <c r="B182" t="s">
        <v>230</v>
      </c>
      <c r="C182">
        <v>24</v>
      </c>
      <c r="D182" s="1">
        <v>80.7</v>
      </c>
      <c r="E182" s="1">
        <v>80.670113295214904</v>
      </c>
      <c r="F182" s="1">
        <v>57.930524474119409</v>
      </c>
    </row>
    <row r="183" spans="1:6">
      <c r="A183">
        <v>780</v>
      </c>
      <c r="B183" t="s">
        <v>231</v>
      </c>
      <c r="C183">
        <v>4</v>
      </c>
      <c r="D183" s="1">
        <v>67.467467467467472</v>
      </c>
      <c r="E183" s="1">
        <v>73.288155849703287</v>
      </c>
      <c r="F183" s="1">
        <v>67.034561654287387</v>
      </c>
    </row>
    <row r="184" spans="1:6">
      <c r="A184">
        <v>784</v>
      </c>
      <c r="B184" t="s">
        <v>232</v>
      </c>
      <c r="C184">
        <v>17</v>
      </c>
      <c r="D184" s="1">
        <v>10.4</v>
      </c>
      <c r="E184" s="1">
        <v>3.9375</v>
      </c>
      <c r="F184" s="1">
        <v>1.5500000000000114</v>
      </c>
    </row>
    <row r="185" spans="1:6">
      <c r="A185">
        <v>788</v>
      </c>
      <c r="B185" t="s">
        <v>233</v>
      </c>
      <c r="C185">
        <v>7</v>
      </c>
      <c r="D185" s="1">
        <v>26.5</v>
      </c>
      <c r="E185" s="1">
        <v>19.171956313020814</v>
      </c>
      <c r="F185" s="1">
        <v>5.6809999999999974</v>
      </c>
    </row>
    <row r="186" spans="1:6">
      <c r="A186">
        <v>792</v>
      </c>
      <c r="B186" t="s">
        <v>234</v>
      </c>
      <c r="C186">
        <v>13</v>
      </c>
      <c r="D186" s="1">
        <v>14</v>
      </c>
      <c r="E186" s="1">
        <v>9.8884999999999934</v>
      </c>
      <c r="F186" s="1">
        <v>5.2869999999999919</v>
      </c>
    </row>
    <row r="187" spans="1:6">
      <c r="A187">
        <v>795</v>
      </c>
      <c r="B187" t="s">
        <v>235</v>
      </c>
      <c r="C187">
        <v>15</v>
      </c>
      <c r="D187" s="1">
        <v>2.0321908946095508</v>
      </c>
      <c r="E187" s="1">
        <v>2.4942802420683137</v>
      </c>
      <c r="F187" s="1">
        <v>2.4742379137992856</v>
      </c>
    </row>
    <row r="188" spans="1:6">
      <c r="A188">
        <v>796</v>
      </c>
      <c r="B188" t="s">
        <v>236</v>
      </c>
      <c r="C188">
        <v>4</v>
      </c>
      <c r="D188" s="1">
        <v>61.4</v>
      </c>
      <c r="E188" s="1">
        <v>61.342118571763947</v>
      </c>
      <c r="F188" s="1">
        <v>29.79535346894464</v>
      </c>
    </row>
    <row r="189" spans="1:6">
      <c r="A189">
        <v>800</v>
      </c>
      <c r="B189" t="s">
        <v>237</v>
      </c>
      <c r="C189">
        <v>9</v>
      </c>
      <c r="D189" s="1">
        <v>1.4985014985014986</v>
      </c>
      <c r="E189" s="1">
        <v>1.5077130603201851</v>
      </c>
      <c r="F189" s="1">
        <v>22.915999999999997</v>
      </c>
    </row>
    <row r="190" spans="1:6">
      <c r="A190">
        <v>804</v>
      </c>
      <c r="B190" t="s">
        <v>238</v>
      </c>
      <c r="C190">
        <v>14</v>
      </c>
      <c r="D190" s="1">
        <v>1.5</v>
      </c>
      <c r="E190" s="1">
        <v>0.84025639923672202</v>
      </c>
      <c r="F190" s="1">
        <v>5.3619999999999948</v>
      </c>
    </row>
    <row r="191" spans="1:6">
      <c r="A191">
        <v>807</v>
      </c>
      <c r="B191" t="s">
        <v>239</v>
      </c>
      <c r="C191">
        <v>12</v>
      </c>
      <c r="D191" s="1">
        <v>36.200000000000003</v>
      </c>
      <c r="E191" s="1">
        <v>15.528342724360741</v>
      </c>
      <c r="F191" s="1">
        <v>8.5715000000000003</v>
      </c>
    </row>
    <row r="192" spans="1:6">
      <c r="A192">
        <v>818</v>
      </c>
      <c r="B192" t="s">
        <v>240</v>
      </c>
      <c r="C192">
        <v>7</v>
      </c>
      <c r="D192" s="1">
        <v>41</v>
      </c>
      <c r="E192" s="1">
        <v>17.701999999999998</v>
      </c>
      <c r="F192" s="1">
        <v>10.709499999999991</v>
      </c>
    </row>
    <row r="193" spans="1:6">
      <c r="A193">
        <v>826</v>
      </c>
      <c r="B193" t="s">
        <v>241</v>
      </c>
      <c r="C193">
        <v>11</v>
      </c>
      <c r="D193" s="1">
        <v>3</v>
      </c>
      <c r="E193" s="1">
        <v>3.0999999999999943</v>
      </c>
      <c r="F193" s="1">
        <v>3.0999999999999943</v>
      </c>
    </row>
    <row r="194" spans="1:6">
      <c r="A194">
        <v>834</v>
      </c>
      <c r="B194" t="s">
        <v>242</v>
      </c>
      <c r="C194">
        <v>26</v>
      </c>
      <c r="D194" s="1">
        <v>1.1000000000000003</v>
      </c>
      <c r="E194" s="1">
        <v>5.8230058005683745</v>
      </c>
      <c r="F194" s="1">
        <v>5.8294975028609173</v>
      </c>
    </row>
    <row r="195" spans="1:6">
      <c r="A195">
        <v>840</v>
      </c>
      <c r="B195" t="s">
        <v>243</v>
      </c>
      <c r="C195">
        <v>2</v>
      </c>
      <c r="D195" s="1">
        <v>18.518518518518519</v>
      </c>
      <c r="E195" s="1">
        <v>9.9569861025993305</v>
      </c>
      <c r="F195" s="1">
        <v>2.4827855907087724</v>
      </c>
    </row>
    <row r="196" spans="1:6">
      <c r="A196">
        <v>850</v>
      </c>
      <c r="B196" t="s">
        <v>244</v>
      </c>
      <c r="C196">
        <v>4</v>
      </c>
      <c r="D196" s="1">
        <v>52</v>
      </c>
      <c r="E196" s="1">
        <v>31.771930016563402</v>
      </c>
      <c r="F196" s="1">
        <v>1.1269999999999953</v>
      </c>
    </row>
    <row r="197" spans="1:6">
      <c r="A197">
        <v>854</v>
      </c>
      <c r="B197" t="s">
        <v>245</v>
      </c>
      <c r="C197">
        <v>8</v>
      </c>
      <c r="D197" s="1">
        <v>1.5015015015015016</v>
      </c>
      <c r="E197" s="1">
        <v>1.5276843788786962</v>
      </c>
      <c r="F197" s="1">
        <v>1.8685828479194413</v>
      </c>
    </row>
    <row r="198" spans="1:6">
      <c r="A198">
        <v>858</v>
      </c>
      <c r="B198" t="s">
        <v>246</v>
      </c>
      <c r="C198">
        <v>6</v>
      </c>
      <c r="D198" s="1">
        <v>39.200000000000003</v>
      </c>
      <c r="E198" s="1">
        <v>30.105414343096754</v>
      </c>
      <c r="F198" s="1">
        <v>13.412651808039868</v>
      </c>
    </row>
    <row r="199" spans="1:6">
      <c r="A199">
        <v>860</v>
      </c>
      <c r="B199" t="s">
        <v>247</v>
      </c>
      <c r="C199">
        <v>15</v>
      </c>
      <c r="D199" s="1">
        <v>0.50050050050050043</v>
      </c>
      <c r="E199" s="1">
        <v>0.42808129040540166</v>
      </c>
      <c r="F199" s="1">
        <v>0.37162892263387448</v>
      </c>
    </row>
    <row r="200" spans="1:6">
      <c r="A200">
        <v>862</v>
      </c>
      <c r="B200" t="s">
        <v>248</v>
      </c>
      <c r="C200">
        <v>6</v>
      </c>
      <c r="D200" s="1">
        <v>10</v>
      </c>
      <c r="E200" s="1">
        <v>0.65049999999999386</v>
      </c>
      <c r="F200" s="1">
        <v>7.9999999999998295E-2</v>
      </c>
    </row>
    <row r="201" spans="1:6">
      <c r="A201">
        <v>882</v>
      </c>
      <c r="B201" t="s">
        <v>249</v>
      </c>
      <c r="C201">
        <v>24</v>
      </c>
      <c r="D201" s="1">
        <v>84.6</v>
      </c>
      <c r="E201" s="1">
        <v>86.475964426607206</v>
      </c>
      <c r="F201" s="1">
        <v>61.301417234679704</v>
      </c>
    </row>
    <row r="202" spans="1:6">
      <c r="A202">
        <v>887</v>
      </c>
      <c r="B202" t="s">
        <v>250</v>
      </c>
      <c r="C202">
        <v>17</v>
      </c>
      <c r="D202" s="1">
        <v>19.5</v>
      </c>
      <c r="E202" s="1">
        <v>26.24653010163901</v>
      </c>
      <c r="F202" s="1">
        <v>14.085999999999999</v>
      </c>
    </row>
    <row r="203" spans="1:6">
      <c r="A203">
        <v>891</v>
      </c>
      <c r="B203" t="s">
        <v>251</v>
      </c>
      <c r="C203">
        <v>12</v>
      </c>
      <c r="D203" s="1">
        <v>36.200000000000003</v>
      </c>
      <c r="E203" s="1">
        <v>24.246544945484928</v>
      </c>
      <c r="F203" s="1">
        <v>10.089500000000001</v>
      </c>
    </row>
    <row r="204" spans="1:6">
      <c r="A204">
        <v>894</v>
      </c>
      <c r="B204" t="s">
        <v>252</v>
      </c>
      <c r="C204">
        <v>26</v>
      </c>
      <c r="D204" s="1">
        <v>3.2999999999999994</v>
      </c>
      <c r="E204" s="1">
        <v>5.1202902752331525</v>
      </c>
      <c r="F204" s="1">
        <v>11.813089151577998</v>
      </c>
    </row>
  </sheetData>
  <pageMargins left="0.7" right="0.7" top="0.75" bottom="0.75" header="0.3" footer="0.3"/>
  <customProperties>
    <customPr name="EpmWorksheetKeyString_GUID" r:id="rId1"/>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8106F-2689-47DD-9267-22C002D58A18}">
  <dimension ref="A1:H204"/>
  <sheetViews>
    <sheetView workbookViewId="0"/>
  </sheetViews>
  <sheetFormatPr defaultRowHeight="15"/>
  <sheetData>
    <row r="1" spans="1:8">
      <c r="A1" t="s">
        <v>44</v>
      </c>
      <c r="B1" s="2" t="s">
        <v>261</v>
      </c>
    </row>
    <row r="2" spans="1:8">
      <c r="A2" t="s">
        <v>44</v>
      </c>
      <c r="B2" t="s">
        <v>46</v>
      </c>
    </row>
    <row r="3" spans="1:8">
      <c r="A3" t="s">
        <v>44</v>
      </c>
      <c r="D3" s="2" t="s">
        <v>262</v>
      </c>
      <c r="E3" s="2" t="s">
        <v>263</v>
      </c>
      <c r="F3" s="2" t="s">
        <v>264</v>
      </c>
      <c r="G3" s="2"/>
      <c r="H3" s="2"/>
    </row>
    <row r="4" spans="1:8">
      <c r="A4" t="s">
        <v>50</v>
      </c>
      <c r="B4" t="s">
        <v>51</v>
      </c>
      <c r="C4" t="s">
        <v>52</v>
      </c>
      <c r="D4">
        <v>2010</v>
      </c>
      <c r="E4">
        <v>2050</v>
      </c>
      <c r="F4">
        <v>2100</v>
      </c>
    </row>
    <row r="5" spans="1:8">
      <c r="A5">
        <v>4</v>
      </c>
      <c r="B5" t="s">
        <v>53</v>
      </c>
      <c r="C5">
        <v>25</v>
      </c>
      <c r="D5" s="1">
        <v>2.5</v>
      </c>
      <c r="E5" s="1">
        <v>39.647105259453745</v>
      </c>
      <c r="F5" s="1">
        <v>82.125500000000002</v>
      </c>
      <c r="G5" s="2"/>
      <c r="H5" s="2"/>
    </row>
    <row r="6" spans="1:8">
      <c r="A6">
        <v>8</v>
      </c>
      <c r="B6" t="s">
        <v>54</v>
      </c>
      <c r="C6">
        <v>12</v>
      </c>
      <c r="D6" s="1">
        <v>89.789789789789779</v>
      </c>
      <c r="E6" s="1">
        <v>97.9</v>
      </c>
      <c r="F6" s="1">
        <v>97.9</v>
      </c>
    </row>
    <row r="7" spans="1:8">
      <c r="A7">
        <v>12</v>
      </c>
      <c r="B7" t="s">
        <v>55</v>
      </c>
      <c r="C7">
        <v>7</v>
      </c>
      <c r="D7" s="1">
        <v>79</v>
      </c>
      <c r="E7" s="1">
        <v>90.260499999999993</v>
      </c>
      <c r="F7" s="1">
        <v>95.036500000000004</v>
      </c>
    </row>
    <row r="8" spans="1:8">
      <c r="A8">
        <v>16</v>
      </c>
      <c r="B8" t="s">
        <v>56</v>
      </c>
      <c r="C8">
        <v>24</v>
      </c>
      <c r="D8" s="1">
        <v>85.149887772725194</v>
      </c>
      <c r="E8" s="1">
        <v>96.763166246382369</v>
      </c>
      <c r="F8" s="1">
        <v>98.403999999999996</v>
      </c>
    </row>
    <row r="9" spans="1:8">
      <c r="A9">
        <v>20</v>
      </c>
      <c r="B9" t="s">
        <v>57</v>
      </c>
      <c r="C9">
        <v>11</v>
      </c>
      <c r="D9" s="1">
        <v>100</v>
      </c>
      <c r="E9" s="1">
        <v>100</v>
      </c>
      <c r="F9" s="1">
        <v>100</v>
      </c>
    </row>
    <row r="10" spans="1:8">
      <c r="A10">
        <v>24</v>
      </c>
      <c r="B10" t="s">
        <v>58</v>
      </c>
      <c r="C10">
        <v>26</v>
      </c>
      <c r="D10" s="1">
        <v>12.3</v>
      </c>
      <c r="E10" s="1">
        <v>12.6</v>
      </c>
      <c r="F10" s="1">
        <v>53.535836896450697</v>
      </c>
    </row>
    <row r="11" spans="1:8">
      <c r="A11">
        <v>31</v>
      </c>
      <c r="B11" t="s">
        <v>59</v>
      </c>
      <c r="C11">
        <v>16</v>
      </c>
      <c r="D11" s="1">
        <v>39.139139139139139</v>
      </c>
      <c r="E11" s="1">
        <v>48.064295451460275</v>
      </c>
      <c r="F11" s="1">
        <v>74.935966903943182</v>
      </c>
    </row>
    <row r="12" spans="1:8">
      <c r="A12">
        <v>32</v>
      </c>
      <c r="B12" t="s">
        <v>60</v>
      </c>
      <c r="C12">
        <v>6</v>
      </c>
      <c r="D12" s="1">
        <v>52.3</v>
      </c>
      <c r="E12" s="1">
        <v>69.102625017326005</v>
      </c>
      <c r="F12" s="1">
        <v>88.304531525391354</v>
      </c>
    </row>
    <row r="13" spans="1:8">
      <c r="A13">
        <v>36</v>
      </c>
      <c r="B13" t="s">
        <v>61</v>
      </c>
      <c r="C13">
        <v>24</v>
      </c>
      <c r="D13" s="1">
        <v>88.5</v>
      </c>
      <c r="E13" s="1">
        <v>97.212999999999994</v>
      </c>
      <c r="F13" s="1">
        <v>98.839500000000001</v>
      </c>
    </row>
    <row r="14" spans="1:8">
      <c r="A14">
        <v>40</v>
      </c>
      <c r="B14" t="s">
        <v>62</v>
      </c>
      <c r="C14">
        <v>11</v>
      </c>
      <c r="D14" s="1">
        <v>92.4</v>
      </c>
      <c r="E14" s="1">
        <v>92.492492492492488</v>
      </c>
      <c r="F14" s="1">
        <v>94.168499999999995</v>
      </c>
    </row>
    <row r="15" spans="1:8">
      <c r="A15">
        <v>44</v>
      </c>
      <c r="B15" t="s">
        <v>63</v>
      </c>
      <c r="C15">
        <v>4</v>
      </c>
      <c r="D15" s="1">
        <v>18</v>
      </c>
      <c r="E15" s="1">
        <v>31.591107792787675</v>
      </c>
      <c r="F15" s="1">
        <v>47.699359105615933</v>
      </c>
    </row>
    <row r="16" spans="1:8">
      <c r="A16">
        <v>48</v>
      </c>
      <c r="B16" t="s">
        <v>64</v>
      </c>
      <c r="C16">
        <v>17</v>
      </c>
      <c r="D16" s="1">
        <v>84.484484484484483</v>
      </c>
      <c r="E16" s="1">
        <v>96.378000000000014</v>
      </c>
      <c r="F16" s="1">
        <v>96.378000000000014</v>
      </c>
    </row>
    <row r="17" spans="1:6">
      <c r="A17">
        <v>50</v>
      </c>
      <c r="B17" t="s">
        <v>65</v>
      </c>
      <c r="C17">
        <v>25</v>
      </c>
      <c r="D17" s="1">
        <v>3.8999999999999995</v>
      </c>
      <c r="E17" s="1">
        <v>39.396661315074439</v>
      </c>
      <c r="F17" s="1">
        <v>74.235963601215431</v>
      </c>
    </row>
    <row r="18" spans="1:6">
      <c r="A18">
        <v>51</v>
      </c>
      <c r="B18" t="s">
        <v>66</v>
      </c>
      <c r="C18">
        <v>16</v>
      </c>
      <c r="D18" s="1">
        <v>65.8</v>
      </c>
      <c r="E18" s="1">
        <v>89.557295324720229</v>
      </c>
      <c r="F18" s="1">
        <v>94.457999999999998</v>
      </c>
    </row>
    <row r="19" spans="1:6">
      <c r="A19">
        <v>52</v>
      </c>
      <c r="B19" t="s">
        <v>67</v>
      </c>
      <c r="C19">
        <v>4</v>
      </c>
      <c r="D19" s="1">
        <v>2.2999999999999998</v>
      </c>
      <c r="E19" s="1">
        <v>11.853858758853868</v>
      </c>
      <c r="F19" s="1">
        <v>25.920035732096117</v>
      </c>
    </row>
    <row r="20" spans="1:6">
      <c r="A20">
        <v>56</v>
      </c>
      <c r="B20" t="s">
        <v>68</v>
      </c>
      <c r="C20">
        <v>11</v>
      </c>
      <c r="D20" s="1">
        <v>72.400000000000006</v>
      </c>
      <c r="E20" s="1">
        <v>99.162499999999994</v>
      </c>
      <c r="F20" s="1">
        <v>99.516500000000008</v>
      </c>
    </row>
    <row r="21" spans="1:6">
      <c r="A21">
        <v>64</v>
      </c>
      <c r="B21" t="s">
        <v>69</v>
      </c>
      <c r="C21">
        <v>25</v>
      </c>
      <c r="D21" s="1">
        <v>5</v>
      </c>
      <c r="E21" s="1">
        <v>47.137716090443185</v>
      </c>
      <c r="F21" s="1">
        <v>73.067288606504007</v>
      </c>
    </row>
    <row r="22" spans="1:6">
      <c r="A22">
        <v>68</v>
      </c>
      <c r="B22" t="s">
        <v>70</v>
      </c>
      <c r="C22">
        <v>6</v>
      </c>
      <c r="D22" s="1">
        <v>41.25874125874126</v>
      </c>
      <c r="E22" s="1">
        <v>74.983777286352748</v>
      </c>
      <c r="F22" s="1">
        <v>94.423999999999992</v>
      </c>
    </row>
    <row r="23" spans="1:6">
      <c r="A23">
        <v>70</v>
      </c>
      <c r="B23" t="s">
        <v>71</v>
      </c>
      <c r="C23">
        <v>12</v>
      </c>
      <c r="D23" s="1">
        <v>54.1</v>
      </c>
      <c r="E23" s="1">
        <v>81.908691195068101</v>
      </c>
      <c r="F23" s="1">
        <v>90.308999999999997</v>
      </c>
    </row>
    <row r="24" spans="1:6">
      <c r="A24">
        <v>72</v>
      </c>
      <c r="B24" t="s">
        <v>72</v>
      </c>
      <c r="C24">
        <v>26</v>
      </c>
      <c r="D24" s="1">
        <v>1.3</v>
      </c>
      <c r="E24" s="1">
        <v>7.0123347878780891</v>
      </c>
      <c r="F24" s="1">
        <v>18.246572020972351</v>
      </c>
    </row>
    <row r="25" spans="1:6">
      <c r="A25">
        <v>76</v>
      </c>
      <c r="B25" t="s">
        <v>73</v>
      </c>
      <c r="C25">
        <v>5</v>
      </c>
      <c r="D25" s="1">
        <v>56.4</v>
      </c>
      <c r="E25" s="1">
        <v>76.663302324637982</v>
      </c>
      <c r="F25" s="1">
        <v>97.211500000000001</v>
      </c>
    </row>
    <row r="26" spans="1:6">
      <c r="A26">
        <v>84</v>
      </c>
      <c r="B26" t="s">
        <v>74</v>
      </c>
      <c r="C26">
        <v>4</v>
      </c>
      <c r="D26" s="1">
        <v>11</v>
      </c>
      <c r="E26" s="1">
        <v>31.88756201197387</v>
      </c>
      <c r="F26" s="1">
        <v>67.059079116465881</v>
      </c>
    </row>
    <row r="27" spans="1:6">
      <c r="A27">
        <v>90</v>
      </c>
      <c r="B27" t="s">
        <v>75</v>
      </c>
      <c r="C27">
        <v>24</v>
      </c>
      <c r="D27" s="1">
        <v>85.149887772725194</v>
      </c>
      <c r="E27" s="1">
        <v>85.48782834408162</v>
      </c>
      <c r="F27" s="1">
        <v>86.676000000000002</v>
      </c>
    </row>
    <row r="28" spans="1:6">
      <c r="A28">
        <v>96</v>
      </c>
      <c r="B28" t="s">
        <v>76</v>
      </c>
      <c r="C28">
        <v>21</v>
      </c>
      <c r="D28" s="1">
        <v>95.3</v>
      </c>
      <c r="E28" s="1">
        <v>95.3</v>
      </c>
      <c r="F28" s="1">
        <v>95.3</v>
      </c>
    </row>
    <row r="29" spans="1:6">
      <c r="A29">
        <v>100</v>
      </c>
      <c r="B29" t="s">
        <v>77</v>
      </c>
      <c r="C29">
        <v>12</v>
      </c>
      <c r="D29" s="1">
        <v>72.099999999999994</v>
      </c>
      <c r="E29" s="1">
        <v>91.554999999999993</v>
      </c>
      <c r="F29" s="1">
        <v>95.001999999999995</v>
      </c>
    </row>
    <row r="30" spans="1:6">
      <c r="A30">
        <v>104</v>
      </c>
      <c r="B30" t="s">
        <v>78</v>
      </c>
      <c r="C30">
        <v>21</v>
      </c>
      <c r="D30" s="1">
        <v>0.99900099900099903</v>
      </c>
      <c r="E30" s="1">
        <v>24.805185913142296</v>
      </c>
      <c r="F30" s="1">
        <v>49.468812223293142</v>
      </c>
    </row>
    <row r="31" spans="1:6">
      <c r="A31">
        <v>108</v>
      </c>
      <c r="B31" t="s">
        <v>79</v>
      </c>
      <c r="C31">
        <v>9</v>
      </c>
      <c r="D31" s="1">
        <v>1.1000000000000003</v>
      </c>
      <c r="E31" s="1">
        <v>42.177092592427819</v>
      </c>
      <c r="F31" s="1">
        <v>77.166499999999999</v>
      </c>
    </row>
    <row r="32" spans="1:6">
      <c r="A32">
        <v>112</v>
      </c>
      <c r="B32" t="s">
        <v>80</v>
      </c>
      <c r="C32">
        <v>14</v>
      </c>
      <c r="D32" s="1">
        <v>82.8</v>
      </c>
      <c r="E32" s="1">
        <v>93.169499999999999</v>
      </c>
      <c r="F32" s="1">
        <v>96.967500000000001</v>
      </c>
    </row>
    <row r="33" spans="1:6">
      <c r="A33">
        <v>116</v>
      </c>
      <c r="B33" t="s">
        <v>81</v>
      </c>
      <c r="C33">
        <v>21</v>
      </c>
      <c r="D33" s="1">
        <v>11</v>
      </c>
      <c r="E33" s="1">
        <v>49.555507421452454</v>
      </c>
      <c r="F33" s="1">
        <v>82.331500000000005</v>
      </c>
    </row>
    <row r="34" spans="1:6">
      <c r="A34">
        <v>120</v>
      </c>
      <c r="B34" t="s">
        <v>82</v>
      </c>
      <c r="C34">
        <v>8</v>
      </c>
      <c r="D34" s="1">
        <v>0.6</v>
      </c>
      <c r="E34" s="1">
        <v>26.002747625094099</v>
      </c>
      <c r="F34" s="1">
        <v>61.837574456763448</v>
      </c>
    </row>
    <row r="35" spans="1:6">
      <c r="A35">
        <v>124</v>
      </c>
      <c r="B35" t="s">
        <v>83</v>
      </c>
      <c r="C35">
        <v>1</v>
      </c>
      <c r="D35" s="1">
        <v>83.583583583583575</v>
      </c>
      <c r="E35" s="1">
        <v>89.98438032078559</v>
      </c>
      <c r="F35" s="1">
        <v>98.1785</v>
      </c>
    </row>
    <row r="36" spans="1:6">
      <c r="A36">
        <v>132</v>
      </c>
      <c r="B36" t="s">
        <v>84</v>
      </c>
      <c r="C36">
        <v>8</v>
      </c>
      <c r="D36" s="1">
        <v>17.699999999999996</v>
      </c>
      <c r="E36" s="1">
        <v>33.069509374036137</v>
      </c>
      <c r="F36" s="1">
        <v>54.129262679778812</v>
      </c>
    </row>
    <row r="37" spans="1:6">
      <c r="A37">
        <v>140</v>
      </c>
      <c r="B37" t="s">
        <v>85</v>
      </c>
      <c r="C37">
        <v>8</v>
      </c>
      <c r="D37" s="1">
        <v>0.1</v>
      </c>
      <c r="E37" s="1">
        <v>29.283064684108666</v>
      </c>
      <c r="F37" s="1">
        <v>77.278384794872665</v>
      </c>
    </row>
    <row r="38" spans="1:6">
      <c r="A38">
        <v>144</v>
      </c>
      <c r="B38" t="s">
        <v>86</v>
      </c>
      <c r="C38">
        <v>25</v>
      </c>
      <c r="D38" s="1">
        <v>2.7972027972027975</v>
      </c>
      <c r="E38" s="1">
        <v>29.001252776499257</v>
      </c>
      <c r="F38" s="1">
        <v>52.151350351273464</v>
      </c>
    </row>
    <row r="39" spans="1:6">
      <c r="A39">
        <v>148</v>
      </c>
      <c r="B39" t="s">
        <v>87</v>
      </c>
      <c r="C39">
        <v>8</v>
      </c>
      <c r="D39" s="1">
        <v>0.50000000000000011</v>
      </c>
      <c r="E39" s="1">
        <v>26.727320795748447</v>
      </c>
      <c r="F39" s="1">
        <v>78.725343855641938</v>
      </c>
    </row>
    <row r="40" spans="1:6">
      <c r="A40">
        <v>152</v>
      </c>
      <c r="B40" t="s">
        <v>88</v>
      </c>
      <c r="C40">
        <v>6</v>
      </c>
      <c r="D40" s="1">
        <v>85.3</v>
      </c>
      <c r="E40" s="1">
        <v>97.954499999999996</v>
      </c>
      <c r="F40" s="1">
        <v>99.442000000000007</v>
      </c>
    </row>
    <row r="41" spans="1:6">
      <c r="A41">
        <v>156</v>
      </c>
      <c r="B41" t="s">
        <v>89</v>
      </c>
      <c r="C41">
        <v>20</v>
      </c>
      <c r="D41" s="1">
        <v>50.2</v>
      </c>
      <c r="E41" s="1">
        <v>84.924000000000007</v>
      </c>
      <c r="F41" s="1">
        <v>90.39200000000001</v>
      </c>
    </row>
    <row r="42" spans="1:6">
      <c r="A42">
        <v>158</v>
      </c>
      <c r="B42" t="s">
        <v>90</v>
      </c>
      <c r="C42">
        <v>20</v>
      </c>
      <c r="D42" s="1">
        <v>50.145034069097953</v>
      </c>
      <c r="E42" s="1">
        <v>86.614999999999995</v>
      </c>
      <c r="F42" s="1">
        <v>92.07650000000001</v>
      </c>
    </row>
    <row r="43" spans="1:6">
      <c r="A43">
        <v>170</v>
      </c>
      <c r="B43" t="s">
        <v>91</v>
      </c>
      <c r="C43">
        <v>6</v>
      </c>
      <c r="D43" s="1">
        <v>74.374374374374369</v>
      </c>
      <c r="E43" s="1">
        <v>91.959351270372764</v>
      </c>
      <c r="F43" s="1">
        <v>96.588999999999999</v>
      </c>
    </row>
    <row r="44" spans="1:6">
      <c r="A44">
        <v>174</v>
      </c>
      <c r="B44" t="s">
        <v>92</v>
      </c>
      <c r="C44">
        <v>9</v>
      </c>
      <c r="D44" s="1">
        <v>3.6999999999999993</v>
      </c>
      <c r="E44" s="1">
        <v>41.595465272521679</v>
      </c>
      <c r="F44" s="1">
        <v>88.148500000000013</v>
      </c>
    </row>
    <row r="45" spans="1:6">
      <c r="A45">
        <v>178</v>
      </c>
      <c r="B45" t="s">
        <v>93</v>
      </c>
      <c r="C45">
        <v>8</v>
      </c>
      <c r="D45" s="1">
        <v>2.7027027027027026</v>
      </c>
      <c r="E45" s="1">
        <v>37.264342811729747</v>
      </c>
      <c r="F45" s="1">
        <v>84.073234366203721</v>
      </c>
    </row>
    <row r="46" spans="1:6">
      <c r="A46">
        <v>180</v>
      </c>
      <c r="B46" t="s">
        <v>94</v>
      </c>
      <c r="C46">
        <v>8</v>
      </c>
      <c r="D46" s="1">
        <v>0.69930069930069927</v>
      </c>
      <c r="E46" s="1">
        <v>51.292908945127017</v>
      </c>
      <c r="F46" s="1">
        <v>86.9345</v>
      </c>
    </row>
    <row r="47" spans="1:6">
      <c r="A47">
        <v>188</v>
      </c>
      <c r="B47" t="s">
        <v>95</v>
      </c>
      <c r="C47">
        <v>4</v>
      </c>
      <c r="D47" s="1">
        <v>26.473526473526476</v>
      </c>
      <c r="E47" s="1">
        <v>46.939709149392804</v>
      </c>
      <c r="F47" s="1">
        <v>71.438974418392263</v>
      </c>
    </row>
    <row r="48" spans="1:6">
      <c r="A48">
        <v>191</v>
      </c>
      <c r="B48" t="s">
        <v>96</v>
      </c>
      <c r="C48">
        <v>12</v>
      </c>
      <c r="D48" s="1">
        <v>56.673306772908361</v>
      </c>
      <c r="E48" s="1">
        <v>72.387527307590659</v>
      </c>
      <c r="F48" s="1">
        <v>88.715530883698108</v>
      </c>
    </row>
    <row r="49" spans="1:6">
      <c r="A49">
        <v>192</v>
      </c>
      <c r="B49" t="s">
        <v>97</v>
      </c>
      <c r="C49">
        <v>4</v>
      </c>
      <c r="D49" s="1">
        <v>46.1</v>
      </c>
      <c r="E49" s="1">
        <v>61.374034363654616</v>
      </c>
      <c r="F49" s="1">
        <v>79.245113693688651</v>
      </c>
    </row>
    <row r="50" spans="1:6">
      <c r="A50">
        <v>196</v>
      </c>
      <c r="B50" t="s">
        <v>98</v>
      </c>
      <c r="C50">
        <v>12</v>
      </c>
      <c r="D50" s="1">
        <v>63.599765582529464</v>
      </c>
      <c r="E50" s="1">
        <v>89.294384017133638</v>
      </c>
      <c r="F50" s="1">
        <v>94.51700000000001</v>
      </c>
    </row>
    <row r="51" spans="1:6">
      <c r="A51">
        <v>203</v>
      </c>
      <c r="B51" t="s">
        <v>99</v>
      </c>
      <c r="C51">
        <v>12</v>
      </c>
      <c r="D51" s="1">
        <v>89.089089089089086</v>
      </c>
      <c r="E51" s="1">
        <v>92.873499999999993</v>
      </c>
      <c r="F51" s="1">
        <v>96.635000000000005</v>
      </c>
    </row>
    <row r="52" spans="1:6">
      <c r="A52">
        <v>204</v>
      </c>
      <c r="B52" t="s">
        <v>100</v>
      </c>
      <c r="C52">
        <v>8</v>
      </c>
      <c r="D52" s="1">
        <v>0.89999999999999991</v>
      </c>
      <c r="E52" s="1">
        <v>29.15540159091325</v>
      </c>
      <c r="F52" s="1">
        <v>77.906803362704665</v>
      </c>
    </row>
    <row r="53" spans="1:6">
      <c r="A53">
        <v>208</v>
      </c>
      <c r="B53" t="s">
        <v>101</v>
      </c>
      <c r="C53">
        <v>11</v>
      </c>
      <c r="D53" s="1">
        <v>90.2</v>
      </c>
      <c r="E53" s="1">
        <v>95.918499999999995</v>
      </c>
      <c r="F53" s="1">
        <v>96.757000000000005</v>
      </c>
    </row>
    <row r="54" spans="1:6">
      <c r="A54">
        <v>212</v>
      </c>
      <c r="B54" t="s">
        <v>102</v>
      </c>
      <c r="C54">
        <v>4</v>
      </c>
      <c r="D54" s="1">
        <v>14.7</v>
      </c>
      <c r="E54" s="1">
        <v>44.204778773374983</v>
      </c>
      <c r="F54" s="1">
        <v>77.592617308598278</v>
      </c>
    </row>
    <row r="55" spans="1:6">
      <c r="A55">
        <v>214</v>
      </c>
      <c r="B55" t="s">
        <v>103</v>
      </c>
      <c r="C55">
        <v>4</v>
      </c>
      <c r="D55" s="1">
        <v>25.9</v>
      </c>
      <c r="E55" s="1">
        <v>46.893469540261769</v>
      </c>
      <c r="F55" s="1">
        <v>71.881187449465472</v>
      </c>
    </row>
    <row r="56" spans="1:6">
      <c r="A56">
        <v>218</v>
      </c>
      <c r="B56" t="s">
        <v>104</v>
      </c>
      <c r="C56">
        <v>6</v>
      </c>
      <c r="D56" s="1">
        <v>53.8</v>
      </c>
      <c r="E56" s="1">
        <v>77.87525533508709</v>
      </c>
      <c r="F56" s="1">
        <v>94.991</v>
      </c>
    </row>
    <row r="57" spans="1:6">
      <c r="A57">
        <v>222</v>
      </c>
      <c r="B57" t="s">
        <v>105</v>
      </c>
      <c r="C57">
        <v>4</v>
      </c>
      <c r="D57" s="1">
        <v>38.361638361638363</v>
      </c>
      <c r="E57" s="1">
        <v>57.825905080521906</v>
      </c>
      <c r="F57" s="1">
        <v>86.038011984557713</v>
      </c>
    </row>
    <row r="58" spans="1:6">
      <c r="A58">
        <v>226</v>
      </c>
      <c r="B58" t="s">
        <v>106</v>
      </c>
      <c r="C58">
        <v>8</v>
      </c>
      <c r="D58" s="1">
        <v>10.3</v>
      </c>
      <c r="E58" s="1">
        <v>10.600000000000001</v>
      </c>
      <c r="F58" s="1">
        <v>22.61972975305401</v>
      </c>
    </row>
    <row r="59" spans="1:6">
      <c r="A59">
        <v>231</v>
      </c>
      <c r="B59" t="s">
        <v>107</v>
      </c>
      <c r="C59">
        <v>9</v>
      </c>
      <c r="D59" s="1">
        <v>0.89999999999999991</v>
      </c>
      <c r="E59" s="1">
        <v>41.241687893972376</v>
      </c>
      <c r="F59" s="1">
        <v>80.458000000000013</v>
      </c>
    </row>
    <row r="60" spans="1:6">
      <c r="A60">
        <v>232</v>
      </c>
      <c r="B60" t="s">
        <v>108</v>
      </c>
      <c r="C60">
        <v>9</v>
      </c>
      <c r="D60" s="1">
        <v>3.6000000000000005</v>
      </c>
      <c r="E60" s="1">
        <v>38.542887937793381</v>
      </c>
      <c r="F60" s="1">
        <v>81.699999999999989</v>
      </c>
    </row>
    <row r="61" spans="1:6">
      <c r="A61">
        <v>233</v>
      </c>
      <c r="B61" t="s">
        <v>109</v>
      </c>
      <c r="C61">
        <v>12</v>
      </c>
      <c r="D61" s="1">
        <v>84.5</v>
      </c>
      <c r="E61" s="1">
        <v>90.436499999999995</v>
      </c>
      <c r="F61" s="1">
        <v>94.5565</v>
      </c>
    </row>
    <row r="62" spans="1:6">
      <c r="A62">
        <v>234</v>
      </c>
      <c r="B62" t="s">
        <v>110</v>
      </c>
      <c r="C62">
        <v>11</v>
      </c>
      <c r="D62" s="1">
        <v>89.740441063276378</v>
      </c>
      <c r="E62" s="1">
        <v>90.903242933895697</v>
      </c>
      <c r="F62" s="1">
        <v>90.903242933895697</v>
      </c>
    </row>
    <row r="63" spans="1:6">
      <c r="A63">
        <v>238</v>
      </c>
      <c r="B63" t="s">
        <v>111</v>
      </c>
      <c r="C63">
        <v>6</v>
      </c>
      <c r="D63" s="1">
        <v>64.008417648825301</v>
      </c>
      <c r="E63" s="1">
        <v>87.694315545848312</v>
      </c>
      <c r="F63" s="1">
        <v>94.4315</v>
      </c>
    </row>
    <row r="64" spans="1:6">
      <c r="A64">
        <v>242</v>
      </c>
      <c r="B64" t="s">
        <v>112</v>
      </c>
      <c r="C64">
        <v>24</v>
      </c>
      <c r="D64" s="1">
        <v>80.761586002272736</v>
      </c>
      <c r="E64" s="1">
        <v>86.099499999999992</v>
      </c>
      <c r="F64" s="1">
        <v>91.896500000000003</v>
      </c>
    </row>
    <row r="65" spans="1:6">
      <c r="A65">
        <v>246</v>
      </c>
      <c r="B65" t="s">
        <v>113</v>
      </c>
      <c r="C65">
        <v>11</v>
      </c>
      <c r="D65" s="1">
        <v>83.816183816183809</v>
      </c>
      <c r="E65" s="1">
        <v>96.001000000000005</v>
      </c>
      <c r="F65" s="1">
        <v>98.091499999999996</v>
      </c>
    </row>
    <row r="66" spans="1:6">
      <c r="A66">
        <v>250</v>
      </c>
      <c r="B66" t="s">
        <v>114</v>
      </c>
      <c r="C66">
        <v>11</v>
      </c>
      <c r="D66" s="1">
        <v>81.5</v>
      </c>
      <c r="E66" s="1">
        <v>93.618318498177558</v>
      </c>
      <c r="F66" s="1">
        <v>97.757999999999996</v>
      </c>
    </row>
    <row r="67" spans="1:6">
      <c r="A67">
        <v>254</v>
      </c>
      <c r="B67" t="s">
        <v>115</v>
      </c>
      <c r="C67">
        <v>6</v>
      </c>
      <c r="D67" s="1">
        <v>40.200000000000003</v>
      </c>
      <c r="E67" s="1">
        <v>63.408753894944269</v>
      </c>
      <c r="F67" s="1">
        <v>87.991159654731874</v>
      </c>
    </row>
    <row r="68" spans="1:6">
      <c r="A68">
        <v>262</v>
      </c>
      <c r="B68" t="s">
        <v>116</v>
      </c>
      <c r="C68">
        <v>9</v>
      </c>
      <c r="D68" s="1">
        <v>2.3490922582377762</v>
      </c>
      <c r="E68" s="1">
        <v>37.936793384964204</v>
      </c>
      <c r="F68" s="1">
        <v>87.74242565721633</v>
      </c>
    </row>
    <row r="69" spans="1:6">
      <c r="A69">
        <v>266</v>
      </c>
      <c r="B69" t="s">
        <v>117</v>
      </c>
      <c r="C69">
        <v>8</v>
      </c>
      <c r="D69" s="1">
        <v>29.970029970029973</v>
      </c>
      <c r="E69" s="1">
        <v>37.779712155406564</v>
      </c>
      <c r="F69" s="1">
        <v>54.434165528597752</v>
      </c>
    </row>
    <row r="70" spans="1:6">
      <c r="A70">
        <v>268</v>
      </c>
      <c r="B70" t="s">
        <v>118</v>
      </c>
      <c r="C70">
        <v>16</v>
      </c>
      <c r="D70" s="1">
        <v>51.3</v>
      </c>
      <c r="E70" s="1">
        <v>75.661252368618719</v>
      </c>
      <c r="F70" s="1">
        <v>90.172999999999988</v>
      </c>
    </row>
    <row r="71" spans="1:6">
      <c r="A71">
        <v>270</v>
      </c>
      <c r="B71" t="s">
        <v>119</v>
      </c>
      <c r="C71">
        <v>8</v>
      </c>
      <c r="D71" s="1">
        <v>2.5974025974025974</v>
      </c>
      <c r="E71" s="1">
        <v>28.837324326913517</v>
      </c>
      <c r="F71" s="1">
        <v>67.88080347921246</v>
      </c>
    </row>
    <row r="72" spans="1:6">
      <c r="A72">
        <v>276</v>
      </c>
      <c r="B72" t="s">
        <v>120</v>
      </c>
      <c r="C72">
        <v>11</v>
      </c>
      <c r="D72" s="1">
        <v>96.5</v>
      </c>
      <c r="E72" s="1">
        <v>96.6</v>
      </c>
      <c r="F72" s="1">
        <v>96.788000000000011</v>
      </c>
    </row>
    <row r="73" spans="1:6">
      <c r="A73">
        <v>288</v>
      </c>
      <c r="B73" t="s">
        <v>121</v>
      </c>
      <c r="C73">
        <v>8</v>
      </c>
      <c r="D73" s="1">
        <v>3.9039039039039038</v>
      </c>
      <c r="E73" s="1">
        <v>33.156710043144813</v>
      </c>
      <c r="F73" s="1">
        <v>72.516566795345</v>
      </c>
    </row>
    <row r="74" spans="1:6">
      <c r="A74">
        <v>300</v>
      </c>
      <c r="B74" t="s">
        <v>122</v>
      </c>
      <c r="C74">
        <v>11</v>
      </c>
      <c r="D74" s="1">
        <v>69.900000000000006</v>
      </c>
      <c r="E74" s="1">
        <v>88.833000000000013</v>
      </c>
      <c r="F74" s="1">
        <v>93.231999999999999</v>
      </c>
    </row>
    <row r="75" spans="1:6">
      <c r="A75">
        <v>304</v>
      </c>
      <c r="B75" t="s">
        <v>123</v>
      </c>
      <c r="C75">
        <v>27</v>
      </c>
      <c r="D75" s="1">
        <v>90.2</v>
      </c>
      <c r="E75" s="1">
        <v>95.651499999999999</v>
      </c>
      <c r="F75" s="1">
        <v>95.651499999999999</v>
      </c>
    </row>
    <row r="76" spans="1:6">
      <c r="A76">
        <v>308</v>
      </c>
      <c r="B76" t="s">
        <v>124</v>
      </c>
      <c r="C76">
        <v>4</v>
      </c>
      <c r="D76" s="1">
        <v>5.9940059940059944</v>
      </c>
      <c r="E76" s="1">
        <v>32.778395072194442</v>
      </c>
      <c r="F76" s="1">
        <v>66.166233607417738</v>
      </c>
    </row>
    <row r="77" spans="1:6">
      <c r="A77">
        <v>312</v>
      </c>
      <c r="B77" t="s">
        <v>125</v>
      </c>
      <c r="C77">
        <v>4</v>
      </c>
      <c r="D77" s="1">
        <v>38.038038038038039</v>
      </c>
      <c r="E77" s="1">
        <v>65.031266786633395</v>
      </c>
      <c r="F77" s="1">
        <v>98.419105321856634</v>
      </c>
    </row>
    <row r="78" spans="1:6">
      <c r="A78">
        <v>320</v>
      </c>
      <c r="B78" t="s">
        <v>126</v>
      </c>
      <c r="C78">
        <v>4</v>
      </c>
      <c r="D78" s="1">
        <v>39.6</v>
      </c>
      <c r="E78" s="1">
        <v>75.132158115786339</v>
      </c>
      <c r="F78" s="1">
        <v>89.68549999999999</v>
      </c>
    </row>
    <row r="79" spans="1:6">
      <c r="A79">
        <v>324</v>
      </c>
      <c r="B79" t="s">
        <v>127</v>
      </c>
      <c r="C79">
        <v>8</v>
      </c>
      <c r="D79" s="1">
        <v>1.4</v>
      </c>
      <c r="E79" s="1">
        <v>48.277066071319027</v>
      </c>
      <c r="F79" s="1">
        <v>84.678322394155046</v>
      </c>
    </row>
    <row r="80" spans="1:6">
      <c r="A80">
        <v>328</v>
      </c>
      <c r="B80" t="s">
        <v>128</v>
      </c>
      <c r="C80">
        <v>6</v>
      </c>
      <c r="D80" s="1">
        <v>2.9970029970029972</v>
      </c>
      <c r="E80" s="1">
        <v>18.394169077362179</v>
      </c>
      <c r="F80" s="1">
        <v>48.033583140203049</v>
      </c>
    </row>
    <row r="81" spans="1:6">
      <c r="A81">
        <v>332</v>
      </c>
      <c r="B81" t="s">
        <v>129</v>
      </c>
      <c r="C81">
        <v>4</v>
      </c>
      <c r="D81" s="1">
        <v>0.9009009009009008</v>
      </c>
      <c r="E81" s="1">
        <v>44.651155803830697</v>
      </c>
      <c r="F81" s="1">
        <v>91.615000000000009</v>
      </c>
    </row>
    <row r="82" spans="1:6">
      <c r="A82">
        <v>340</v>
      </c>
      <c r="B82" t="s">
        <v>130</v>
      </c>
      <c r="C82">
        <v>4</v>
      </c>
      <c r="D82" s="1">
        <v>34.6</v>
      </c>
      <c r="E82" s="1">
        <v>72.701748583547555</v>
      </c>
      <c r="F82" s="1">
        <v>90.466500000000011</v>
      </c>
    </row>
    <row r="83" spans="1:6">
      <c r="A83">
        <v>344</v>
      </c>
      <c r="B83" t="s">
        <v>131</v>
      </c>
      <c r="C83">
        <v>20</v>
      </c>
      <c r="D83" s="1">
        <v>100</v>
      </c>
      <c r="E83" s="1">
        <v>100</v>
      </c>
      <c r="F83" s="1">
        <v>100</v>
      </c>
    </row>
    <row r="84" spans="1:6">
      <c r="A84">
        <v>348</v>
      </c>
      <c r="B84" t="s">
        <v>132</v>
      </c>
      <c r="C84">
        <v>12</v>
      </c>
      <c r="D84" s="1">
        <v>69.400000000000006</v>
      </c>
      <c r="E84" s="1">
        <v>89.837499999999991</v>
      </c>
      <c r="F84" s="1">
        <v>94.270499999999998</v>
      </c>
    </row>
    <row r="85" spans="1:6">
      <c r="A85">
        <v>352</v>
      </c>
      <c r="B85" t="s">
        <v>133</v>
      </c>
      <c r="C85">
        <v>11</v>
      </c>
      <c r="D85" s="1">
        <v>91.6</v>
      </c>
      <c r="E85" s="1">
        <v>98.067999999999998</v>
      </c>
      <c r="F85" s="1">
        <v>98.067999999999998</v>
      </c>
    </row>
    <row r="86" spans="1:6">
      <c r="A86">
        <v>356</v>
      </c>
      <c r="B86" t="s">
        <v>134</v>
      </c>
      <c r="C86">
        <v>18</v>
      </c>
      <c r="D86" s="1">
        <v>9</v>
      </c>
      <c r="E86" s="1">
        <v>45.837382931860162</v>
      </c>
      <c r="F86" s="1">
        <v>76.526946300380104</v>
      </c>
    </row>
    <row r="87" spans="1:6">
      <c r="A87">
        <v>360</v>
      </c>
      <c r="B87" t="s">
        <v>135</v>
      </c>
      <c r="C87">
        <v>22</v>
      </c>
      <c r="D87" s="1">
        <v>11.511511511511511</v>
      </c>
      <c r="E87" s="1">
        <v>46.992491522504331</v>
      </c>
      <c r="F87" s="1">
        <v>75.563358734864437</v>
      </c>
    </row>
    <row r="88" spans="1:6">
      <c r="A88">
        <v>364</v>
      </c>
      <c r="B88" t="s">
        <v>136</v>
      </c>
      <c r="C88">
        <v>17</v>
      </c>
      <c r="D88" s="1">
        <v>26.5</v>
      </c>
      <c r="E88" s="1">
        <v>39.09124597716982</v>
      </c>
      <c r="F88" s="1">
        <v>54.183936752398949</v>
      </c>
    </row>
    <row r="89" spans="1:6">
      <c r="A89">
        <v>368</v>
      </c>
      <c r="B89" t="s">
        <v>137</v>
      </c>
      <c r="C89">
        <v>17</v>
      </c>
      <c r="D89" s="1">
        <v>24.724724724724723</v>
      </c>
      <c r="E89" s="1">
        <v>44.785749867028322</v>
      </c>
      <c r="F89" s="1">
        <v>78.897603812498829</v>
      </c>
    </row>
    <row r="90" spans="1:6">
      <c r="A90">
        <v>372</v>
      </c>
      <c r="B90" t="s">
        <v>138</v>
      </c>
      <c r="C90">
        <v>11</v>
      </c>
      <c r="D90" s="1">
        <v>64.964964964964977</v>
      </c>
      <c r="E90" s="1">
        <v>81.645560257236681</v>
      </c>
      <c r="F90" s="1">
        <v>93.513500000000008</v>
      </c>
    </row>
    <row r="91" spans="1:6">
      <c r="A91">
        <v>376</v>
      </c>
      <c r="B91" t="s">
        <v>139</v>
      </c>
      <c r="C91">
        <v>17</v>
      </c>
      <c r="D91" s="1">
        <v>99.1</v>
      </c>
      <c r="E91" s="1">
        <v>99.1</v>
      </c>
      <c r="F91" s="1">
        <v>99.1</v>
      </c>
    </row>
    <row r="92" spans="1:6">
      <c r="A92">
        <v>380</v>
      </c>
      <c r="B92" t="s">
        <v>140</v>
      </c>
      <c r="C92">
        <v>11</v>
      </c>
      <c r="D92" s="1">
        <v>93.693693693693703</v>
      </c>
      <c r="E92" s="1">
        <v>93.7</v>
      </c>
      <c r="F92" s="1">
        <v>94.623000000000005</v>
      </c>
    </row>
    <row r="93" spans="1:6">
      <c r="A93">
        <v>384</v>
      </c>
      <c r="B93" t="s">
        <v>141</v>
      </c>
      <c r="C93">
        <v>8</v>
      </c>
      <c r="D93" s="1">
        <v>6.6</v>
      </c>
      <c r="E93" s="1">
        <v>47.171317765687405</v>
      </c>
      <c r="F93" s="1">
        <v>80.102048609946195</v>
      </c>
    </row>
    <row r="94" spans="1:6">
      <c r="A94">
        <v>388</v>
      </c>
      <c r="B94" t="s">
        <v>142</v>
      </c>
      <c r="C94">
        <v>4</v>
      </c>
      <c r="D94" s="1">
        <v>20.6</v>
      </c>
      <c r="E94" s="1">
        <v>35.178523054250959</v>
      </c>
      <c r="F94" s="1">
        <v>63.464729095221159</v>
      </c>
    </row>
    <row r="95" spans="1:6">
      <c r="A95">
        <v>392</v>
      </c>
      <c r="B95" t="s">
        <v>143</v>
      </c>
      <c r="C95">
        <v>23</v>
      </c>
      <c r="D95" s="1">
        <v>68.931068931068936</v>
      </c>
      <c r="E95" s="1">
        <v>83.844038568570497</v>
      </c>
      <c r="F95" s="1">
        <v>94.86099999999999</v>
      </c>
    </row>
    <row r="96" spans="1:6">
      <c r="A96">
        <v>398</v>
      </c>
      <c r="B96" t="s">
        <v>144</v>
      </c>
      <c r="C96">
        <v>15</v>
      </c>
      <c r="D96" s="1">
        <v>40.6</v>
      </c>
      <c r="E96" s="1">
        <v>58.96197819688765</v>
      </c>
      <c r="F96" s="1">
        <v>71.935649785064896</v>
      </c>
    </row>
    <row r="97" spans="1:6">
      <c r="A97">
        <v>400</v>
      </c>
      <c r="B97" t="s">
        <v>145</v>
      </c>
      <c r="C97">
        <v>17</v>
      </c>
      <c r="D97" s="1">
        <v>60.5</v>
      </c>
      <c r="E97" s="1">
        <v>94.548999999999992</v>
      </c>
      <c r="F97" s="1">
        <v>97.122</v>
      </c>
    </row>
    <row r="98" spans="1:6">
      <c r="A98">
        <v>404</v>
      </c>
      <c r="B98" t="s">
        <v>146</v>
      </c>
      <c r="C98">
        <v>9</v>
      </c>
      <c r="D98" s="1">
        <v>6.4935064935064926</v>
      </c>
      <c r="E98" s="1">
        <v>38.85898343376045</v>
      </c>
      <c r="F98" s="1">
        <v>81.836500000000001</v>
      </c>
    </row>
    <row r="99" spans="1:6">
      <c r="A99">
        <v>408</v>
      </c>
      <c r="B99" t="s">
        <v>147</v>
      </c>
      <c r="C99">
        <v>19</v>
      </c>
      <c r="D99" s="1">
        <v>56.54345654345655</v>
      </c>
      <c r="E99" s="1">
        <v>65.909620371000912</v>
      </c>
      <c r="F99" s="1">
        <v>82.429046718067426</v>
      </c>
    </row>
    <row r="100" spans="1:6">
      <c r="A100">
        <v>410</v>
      </c>
      <c r="B100" t="s">
        <v>148</v>
      </c>
      <c r="C100">
        <v>19</v>
      </c>
      <c r="D100" s="1">
        <v>89.2</v>
      </c>
      <c r="E100" s="1">
        <v>96.4</v>
      </c>
      <c r="F100" s="1">
        <v>98.696000000000012</v>
      </c>
    </row>
    <row r="101" spans="1:6">
      <c r="A101">
        <v>414</v>
      </c>
      <c r="B101" t="s">
        <v>149</v>
      </c>
      <c r="C101">
        <v>17</v>
      </c>
      <c r="D101" s="1">
        <v>100</v>
      </c>
      <c r="E101" s="1">
        <v>100</v>
      </c>
      <c r="F101" s="1">
        <v>100</v>
      </c>
    </row>
    <row r="102" spans="1:6">
      <c r="A102">
        <v>417</v>
      </c>
      <c r="B102" t="s">
        <v>150</v>
      </c>
      <c r="C102">
        <v>15</v>
      </c>
      <c r="D102" s="1">
        <v>16.399999999999999</v>
      </c>
      <c r="E102" s="1">
        <v>49.247164647170614</v>
      </c>
      <c r="F102" s="1">
        <v>83.454021898340812</v>
      </c>
    </row>
    <row r="103" spans="1:6">
      <c r="A103">
        <v>418</v>
      </c>
      <c r="B103" t="s">
        <v>151</v>
      </c>
      <c r="C103">
        <v>21</v>
      </c>
      <c r="D103" s="1">
        <v>10.157849743894504</v>
      </c>
      <c r="E103" s="1">
        <v>48.967892754376564</v>
      </c>
      <c r="F103" s="1">
        <v>84.450471371169769</v>
      </c>
    </row>
    <row r="104" spans="1:6">
      <c r="A104">
        <v>422</v>
      </c>
      <c r="B104" t="s">
        <v>152</v>
      </c>
      <c r="C104">
        <v>17</v>
      </c>
      <c r="D104" s="1">
        <v>72</v>
      </c>
      <c r="E104" s="1">
        <v>89.321493882568717</v>
      </c>
      <c r="F104" s="1">
        <v>97.040999999999997</v>
      </c>
    </row>
    <row r="105" spans="1:6">
      <c r="A105">
        <v>426</v>
      </c>
      <c r="B105" t="s">
        <v>153</v>
      </c>
      <c r="C105">
        <v>26</v>
      </c>
      <c r="D105" s="1">
        <v>1.1999999999999997</v>
      </c>
      <c r="E105" s="1">
        <v>22.525540786179477</v>
      </c>
      <c r="F105" s="1">
        <v>63.096074965727212</v>
      </c>
    </row>
    <row r="106" spans="1:6">
      <c r="A106">
        <v>428</v>
      </c>
      <c r="B106" t="s">
        <v>154</v>
      </c>
      <c r="C106">
        <v>12</v>
      </c>
      <c r="D106" s="1">
        <v>84.9</v>
      </c>
      <c r="E106" s="1">
        <v>89.7</v>
      </c>
      <c r="F106" s="1">
        <v>94.076999999999998</v>
      </c>
    </row>
    <row r="107" spans="1:6">
      <c r="A107">
        <v>430</v>
      </c>
      <c r="B107" t="s">
        <v>155</v>
      </c>
      <c r="C107">
        <v>8</v>
      </c>
      <c r="D107" s="1">
        <v>2.2022022022022023</v>
      </c>
      <c r="E107" s="1">
        <v>46.870267309894999</v>
      </c>
      <c r="F107" s="1">
        <v>90.02600000000001</v>
      </c>
    </row>
    <row r="108" spans="1:6">
      <c r="A108">
        <v>434</v>
      </c>
      <c r="B108" t="s">
        <v>156</v>
      </c>
      <c r="C108">
        <v>7</v>
      </c>
      <c r="D108" s="1">
        <v>65.034965034965026</v>
      </c>
      <c r="E108" s="1">
        <v>89.43749531997247</v>
      </c>
      <c r="F108" s="1">
        <v>96.975999999999999</v>
      </c>
    </row>
    <row r="109" spans="1:6">
      <c r="A109">
        <v>438</v>
      </c>
      <c r="B109" t="s">
        <v>157</v>
      </c>
      <c r="C109">
        <v>11</v>
      </c>
      <c r="D109" s="1">
        <v>100</v>
      </c>
      <c r="E109" s="1">
        <v>100</v>
      </c>
      <c r="F109" s="1">
        <v>100</v>
      </c>
    </row>
    <row r="110" spans="1:6">
      <c r="A110">
        <v>440</v>
      </c>
      <c r="B110" t="s">
        <v>158</v>
      </c>
      <c r="C110">
        <v>12</v>
      </c>
      <c r="D110" s="1">
        <v>89.289289289289286</v>
      </c>
      <c r="E110" s="1">
        <v>92.8</v>
      </c>
      <c r="F110" s="1">
        <v>94.623000000000005</v>
      </c>
    </row>
    <row r="111" spans="1:6">
      <c r="A111">
        <v>442</v>
      </c>
      <c r="B111" t="s">
        <v>159</v>
      </c>
      <c r="C111">
        <v>11</v>
      </c>
      <c r="D111" s="1">
        <v>97.8</v>
      </c>
      <c r="E111" s="1">
        <v>98.1</v>
      </c>
      <c r="F111" s="1">
        <v>98.1</v>
      </c>
    </row>
    <row r="112" spans="1:6">
      <c r="A112">
        <v>450</v>
      </c>
      <c r="B112" t="s">
        <v>160</v>
      </c>
      <c r="C112">
        <v>9</v>
      </c>
      <c r="D112" s="1">
        <v>0.89999999999999991</v>
      </c>
      <c r="E112" s="1">
        <v>41.691499227525398</v>
      </c>
      <c r="F112" s="1">
        <v>86.442499999999995</v>
      </c>
    </row>
    <row r="113" spans="1:6">
      <c r="A113">
        <v>454</v>
      </c>
      <c r="B113" t="s">
        <v>161</v>
      </c>
      <c r="C113">
        <v>26</v>
      </c>
      <c r="D113" s="1">
        <v>1.9</v>
      </c>
      <c r="E113" s="1">
        <v>40.625214213257152</v>
      </c>
      <c r="F113" s="1">
        <v>82.3125</v>
      </c>
    </row>
    <row r="114" spans="1:6">
      <c r="A114">
        <v>458</v>
      </c>
      <c r="B114" t="s">
        <v>162</v>
      </c>
      <c r="C114">
        <v>21</v>
      </c>
      <c r="D114" s="1">
        <v>68.468468468468473</v>
      </c>
      <c r="E114" s="1">
        <v>92.347000000000008</v>
      </c>
      <c r="F114" s="1">
        <v>96.759500000000003</v>
      </c>
    </row>
    <row r="115" spans="1:6">
      <c r="A115">
        <v>466</v>
      </c>
      <c r="B115" t="s">
        <v>163</v>
      </c>
      <c r="C115">
        <v>8</v>
      </c>
      <c r="D115" s="1">
        <v>2.4024024024024024</v>
      </c>
      <c r="E115" s="1">
        <v>36.612303883153139</v>
      </c>
      <c r="F115" s="1">
        <v>87.220500000000001</v>
      </c>
    </row>
    <row r="116" spans="1:6">
      <c r="A116">
        <v>470</v>
      </c>
      <c r="B116" t="s">
        <v>164</v>
      </c>
      <c r="C116">
        <v>12</v>
      </c>
      <c r="D116" s="1">
        <v>98.5</v>
      </c>
      <c r="E116" s="1">
        <v>98.727000000000004</v>
      </c>
      <c r="F116" s="1">
        <v>98.727000000000004</v>
      </c>
    </row>
    <row r="117" spans="1:6">
      <c r="A117">
        <v>474</v>
      </c>
      <c r="B117" t="s">
        <v>165</v>
      </c>
      <c r="C117">
        <v>4</v>
      </c>
      <c r="D117" s="1">
        <v>44.255744255744261</v>
      </c>
      <c r="E117" s="1">
        <v>71.870427625794235</v>
      </c>
      <c r="F117" s="1">
        <v>96.084000000000003</v>
      </c>
    </row>
    <row r="118" spans="1:6">
      <c r="A118">
        <v>478</v>
      </c>
      <c r="B118" t="s">
        <v>166</v>
      </c>
      <c r="C118">
        <v>8</v>
      </c>
      <c r="D118" s="1">
        <v>2.0979020979020979</v>
      </c>
      <c r="E118" s="1">
        <v>24.89209420795072</v>
      </c>
      <c r="F118" s="1">
        <v>59.24510113665437</v>
      </c>
    </row>
    <row r="119" spans="1:6">
      <c r="A119">
        <v>480</v>
      </c>
      <c r="B119" t="s">
        <v>167</v>
      </c>
      <c r="C119">
        <v>9</v>
      </c>
      <c r="D119" s="1">
        <v>22.4</v>
      </c>
      <c r="E119" s="1">
        <v>34.678134387128054</v>
      </c>
      <c r="F119" s="1">
        <v>57.952111447234628</v>
      </c>
    </row>
    <row r="120" spans="1:6">
      <c r="A120">
        <v>484</v>
      </c>
      <c r="B120" t="s">
        <v>168</v>
      </c>
      <c r="C120">
        <v>3</v>
      </c>
      <c r="D120" s="1">
        <v>73.473473473473476</v>
      </c>
      <c r="E120" s="1">
        <v>93.227456895208022</v>
      </c>
      <c r="F120" s="1">
        <v>97.288499999999999</v>
      </c>
    </row>
    <row r="121" spans="1:6">
      <c r="A121">
        <v>496</v>
      </c>
      <c r="B121" t="s">
        <v>169</v>
      </c>
      <c r="C121">
        <v>20</v>
      </c>
      <c r="D121" s="1">
        <v>23</v>
      </c>
      <c r="E121" s="1">
        <v>67.022955128828784</v>
      </c>
      <c r="F121" s="1">
        <v>93.5565</v>
      </c>
    </row>
    <row r="122" spans="1:6">
      <c r="A122">
        <v>498</v>
      </c>
      <c r="B122" t="s">
        <v>170</v>
      </c>
      <c r="C122">
        <v>14</v>
      </c>
      <c r="D122" s="1">
        <v>33.299999999999997</v>
      </c>
      <c r="E122" s="1">
        <v>64.166844565750722</v>
      </c>
      <c r="F122" s="1">
        <v>82.329780090328285</v>
      </c>
    </row>
    <row r="123" spans="1:6">
      <c r="A123">
        <v>500</v>
      </c>
      <c r="B123" t="s">
        <v>171</v>
      </c>
      <c r="C123">
        <v>4</v>
      </c>
      <c r="D123" s="1">
        <v>32.049549686775094</v>
      </c>
      <c r="E123" s="1">
        <v>58.694750758140962</v>
      </c>
      <c r="F123" s="1">
        <v>84.489499999999992</v>
      </c>
    </row>
    <row r="124" spans="1:6">
      <c r="A124">
        <v>504</v>
      </c>
      <c r="B124" t="s">
        <v>172</v>
      </c>
      <c r="C124">
        <v>7</v>
      </c>
      <c r="D124" s="1">
        <v>51.2</v>
      </c>
      <c r="E124" s="1">
        <v>83.414110697775214</v>
      </c>
      <c r="F124" s="1">
        <v>91.064000000000007</v>
      </c>
    </row>
    <row r="125" spans="1:6">
      <c r="A125">
        <v>508</v>
      </c>
      <c r="B125" t="s">
        <v>173</v>
      </c>
      <c r="C125">
        <v>26</v>
      </c>
      <c r="D125" s="1">
        <v>1.1000000000000001</v>
      </c>
      <c r="E125" s="1">
        <v>33.593983315611958</v>
      </c>
      <c r="F125" s="1">
        <v>85.510004049534786</v>
      </c>
    </row>
    <row r="126" spans="1:6">
      <c r="A126">
        <v>512</v>
      </c>
      <c r="B126" t="s">
        <v>174</v>
      </c>
      <c r="C126">
        <v>17</v>
      </c>
      <c r="D126" s="1">
        <v>9.8000000000000007</v>
      </c>
      <c r="E126" s="1">
        <v>19.726272972546042</v>
      </c>
      <c r="F126" s="1">
        <v>39.917810879527167</v>
      </c>
    </row>
    <row r="127" spans="1:6">
      <c r="A127">
        <v>516</v>
      </c>
      <c r="B127" t="s">
        <v>175</v>
      </c>
      <c r="C127">
        <v>26</v>
      </c>
      <c r="D127" s="1">
        <v>32.367632367632368</v>
      </c>
      <c r="E127" s="1">
        <v>46.515232084069382</v>
      </c>
      <c r="F127" s="1">
        <v>64.741633873633148</v>
      </c>
    </row>
    <row r="128" spans="1:6">
      <c r="A128">
        <v>524</v>
      </c>
      <c r="B128" t="s">
        <v>176</v>
      </c>
      <c r="C128">
        <v>25</v>
      </c>
      <c r="D128" s="1">
        <v>4.8</v>
      </c>
      <c r="E128" s="1">
        <v>41.104950573923006</v>
      </c>
      <c r="F128" s="1">
        <v>81.715500000000006</v>
      </c>
    </row>
    <row r="129" spans="1:6">
      <c r="A129">
        <v>528</v>
      </c>
      <c r="B129" t="s">
        <v>177</v>
      </c>
      <c r="C129">
        <v>11</v>
      </c>
      <c r="D129" s="1">
        <v>99.4</v>
      </c>
      <c r="E129" s="1">
        <v>99.5</v>
      </c>
      <c r="F129" s="1">
        <v>99.5</v>
      </c>
    </row>
    <row r="130" spans="1:6">
      <c r="A130">
        <v>530</v>
      </c>
      <c r="B130" t="s">
        <v>178</v>
      </c>
      <c r="C130">
        <v>4</v>
      </c>
      <c r="D130" s="1">
        <v>32.049549686775094</v>
      </c>
      <c r="E130" s="1">
        <v>58.745585382680922</v>
      </c>
      <c r="F130" s="1">
        <v>92.133423917904167</v>
      </c>
    </row>
    <row r="131" spans="1:6">
      <c r="A131">
        <v>533</v>
      </c>
      <c r="B131" t="s">
        <v>179</v>
      </c>
      <c r="C131">
        <v>4</v>
      </c>
      <c r="D131" s="1">
        <v>32.049549686775094</v>
      </c>
      <c r="E131" s="1">
        <v>70.513049431359292</v>
      </c>
      <c r="F131" s="1">
        <v>90.4435</v>
      </c>
    </row>
    <row r="132" spans="1:6">
      <c r="A132">
        <v>540</v>
      </c>
      <c r="B132" t="s">
        <v>180</v>
      </c>
      <c r="C132">
        <v>24</v>
      </c>
      <c r="D132" s="1">
        <v>85.847837210363579</v>
      </c>
      <c r="E132" s="1">
        <v>85.980707692832169</v>
      </c>
      <c r="F132" s="1">
        <v>91.852500000000006</v>
      </c>
    </row>
    <row r="133" spans="1:6">
      <c r="A133">
        <v>548</v>
      </c>
      <c r="B133" t="s">
        <v>181</v>
      </c>
      <c r="C133">
        <v>24</v>
      </c>
      <c r="D133" s="1">
        <v>9.990009990009991</v>
      </c>
      <c r="E133" s="1">
        <v>42.528972294889769</v>
      </c>
      <c r="F133" s="1">
        <v>83.499733177641048</v>
      </c>
    </row>
    <row r="134" spans="1:6">
      <c r="A134">
        <v>554</v>
      </c>
      <c r="B134" t="s">
        <v>182</v>
      </c>
      <c r="C134">
        <v>24</v>
      </c>
      <c r="D134" s="1">
        <v>82.4</v>
      </c>
      <c r="E134" s="1">
        <v>91.768275069668192</v>
      </c>
      <c r="F134" s="1">
        <v>97.462000000000003</v>
      </c>
    </row>
    <row r="135" spans="1:6">
      <c r="A135">
        <v>558</v>
      </c>
      <c r="B135" t="s">
        <v>183</v>
      </c>
      <c r="C135">
        <v>4</v>
      </c>
      <c r="D135" s="1">
        <v>21.1</v>
      </c>
      <c r="E135" s="1">
        <v>60.929778810311817</v>
      </c>
      <c r="F135" s="1">
        <v>89.366</v>
      </c>
    </row>
    <row r="136" spans="1:6">
      <c r="A136">
        <v>562</v>
      </c>
      <c r="B136" t="s">
        <v>184</v>
      </c>
      <c r="C136">
        <v>8</v>
      </c>
      <c r="D136" s="1">
        <v>0.8</v>
      </c>
      <c r="E136" s="1">
        <v>38.982122739005582</v>
      </c>
      <c r="F136" s="1">
        <v>80.204499999999996</v>
      </c>
    </row>
    <row r="137" spans="1:6">
      <c r="A137">
        <v>566</v>
      </c>
      <c r="B137" t="s">
        <v>185</v>
      </c>
      <c r="C137">
        <v>8</v>
      </c>
      <c r="D137" s="1">
        <v>7.4999999999999991</v>
      </c>
      <c r="E137" s="1">
        <v>38.021727602866022</v>
      </c>
      <c r="F137" s="1">
        <v>85.464845431982567</v>
      </c>
    </row>
    <row r="138" spans="1:6">
      <c r="A138">
        <v>578</v>
      </c>
      <c r="B138" t="s">
        <v>186</v>
      </c>
      <c r="C138">
        <v>11</v>
      </c>
      <c r="D138" s="1">
        <v>82.017982017982021</v>
      </c>
      <c r="E138" s="1">
        <v>93.013289245494647</v>
      </c>
      <c r="F138" s="1">
        <v>96.796499999999995</v>
      </c>
    </row>
    <row r="139" spans="1:6">
      <c r="A139">
        <v>586</v>
      </c>
      <c r="B139" t="s">
        <v>187</v>
      </c>
      <c r="C139">
        <v>25</v>
      </c>
      <c r="D139" s="1">
        <v>23</v>
      </c>
      <c r="E139" s="1">
        <v>56.651718182745988</v>
      </c>
      <c r="F139" s="1">
        <v>87.077500000000015</v>
      </c>
    </row>
    <row r="140" spans="1:6">
      <c r="A140">
        <v>591</v>
      </c>
      <c r="B140" t="s">
        <v>188</v>
      </c>
      <c r="C140">
        <v>4</v>
      </c>
      <c r="D140" s="1">
        <v>33.299999999999997</v>
      </c>
      <c r="E140" s="1">
        <v>63.305474038453383</v>
      </c>
      <c r="F140" s="1">
        <v>84.942089762461876</v>
      </c>
    </row>
    <row r="141" spans="1:6">
      <c r="A141">
        <v>598</v>
      </c>
      <c r="B141" t="s">
        <v>189</v>
      </c>
      <c r="C141">
        <v>22</v>
      </c>
      <c r="D141" s="1">
        <v>3.8999999999999995</v>
      </c>
      <c r="E141" s="1">
        <v>42.579260031481049</v>
      </c>
      <c r="F141" s="1">
        <v>77.344999999999999</v>
      </c>
    </row>
    <row r="142" spans="1:6">
      <c r="A142">
        <v>600</v>
      </c>
      <c r="B142" t="s">
        <v>190</v>
      </c>
      <c r="C142">
        <v>6</v>
      </c>
      <c r="D142" s="1">
        <v>10.71071071071071</v>
      </c>
      <c r="E142" s="1">
        <v>39.270499629045126</v>
      </c>
      <c r="F142" s="1">
        <v>75.231709653407535</v>
      </c>
    </row>
    <row r="143" spans="1:6">
      <c r="A143">
        <v>604</v>
      </c>
      <c r="B143" t="s">
        <v>191</v>
      </c>
      <c r="C143">
        <v>6</v>
      </c>
      <c r="D143" s="1">
        <v>65.134865134865123</v>
      </c>
      <c r="E143" s="1">
        <v>87.521264371827343</v>
      </c>
      <c r="F143" s="1">
        <v>97.024000000000001</v>
      </c>
    </row>
    <row r="144" spans="1:6">
      <c r="A144">
        <v>608</v>
      </c>
      <c r="B144" t="s">
        <v>192</v>
      </c>
      <c r="C144">
        <v>21</v>
      </c>
      <c r="D144" s="1">
        <v>4.1041041041041035</v>
      </c>
      <c r="E144" s="1">
        <v>37.15833012166182</v>
      </c>
      <c r="F144" s="1">
        <v>76.680511883055786</v>
      </c>
    </row>
    <row r="145" spans="1:6">
      <c r="A145">
        <v>616</v>
      </c>
      <c r="B145" t="s">
        <v>193</v>
      </c>
      <c r="C145">
        <v>12</v>
      </c>
      <c r="D145" s="1">
        <v>65.7</v>
      </c>
      <c r="E145" s="1">
        <v>88.603499999999997</v>
      </c>
      <c r="F145" s="1">
        <v>93.000500000000002</v>
      </c>
    </row>
    <row r="146" spans="1:6">
      <c r="A146">
        <v>620</v>
      </c>
      <c r="B146" t="s">
        <v>194</v>
      </c>
      <c r="C146">
        <v>11</v>
      </c>
      <c r="D146" s="1">
        <v>62.1</v>
      </c>
      <c r="E146" s="1">
        <v>75.838937138191056</v>
      </c>
      <c r="F146" s="1">
        <v>93.016500000000008</v>
      </c>
    </row>
    <row r="147" spans="1:6">
      <c r="A147">
        <v>624</v>
      </c>
      <c r="B147" t="s">
        <v>195</v>
      </c>
      <c r="C147">
        <v>8</v>
      </c>
      <c r="D147" s="1">
        <v>3.4</v>
      </c>
      <c r="E147" s="1">
        <v>37.25302631989458</v>
      </c>
      <c r="F147" s="1">
        <v>84.163877588925772</v>
      </c>
    </row>
    <row r="148" spans="1:6">
      <c r="A148">
        <v>626</v>
      </c>
      <c r="B148" t="s">
        <v>196</v>
      </c>
      <c r="C148">
        <v>22</v>
      </c>
      <c r="D148" s="1">
        <v>11.1</v>
      </c>
      <c r="E148" s="1">
        <v>54.991212529875511</v>
      </c>
      <c r="F148" s="1">
        <v>85.805499999999995</v>
      </c>
    </row>
    <row r="149" spans="1:6">
      <c r="A149">
        <v>630</v>
      </c>
      <c r="B149" t="s">
        <v>197</v>
      </c>
      <c r="C149">
        <v>4</v>
      </c>
      <c r="D149" s="1">
        <v>94.2</v>
      </c>
      <c r="E149" s="1">
        <v>99.856999999999999</v>
      </c>
      <c r="F149" s="1">
        <v>99.856999999999999</v>
      </c>
    </row>
    <row r="150" spans="1:6">
      <c r="A150">
        <v>634</v>
      </c>
      <c r="B150" t="s">
        <v>198</v>
      </c>
      <c r="C150">
        <v>17</v>
      </c>
      <c r="D150" s="1">
        <v>76.900000000000006</v>
      </c>
      <c r="E150" s="1">
        <v>88.998096219022401</v>
      </c>
      <c r="F150" s="1">
        <v>94.314133753887418</v>
      </c>
    </row>
    <row r="151" spans="1:6">
      <c r="A151">
        <v>638</v>
      </c>
      <c r="B151" t="s">
        <v>199</v>
      </c>
      <c r="C151">
        <v>9</v>
      </c>
      <c r="D151" s="1">
        <v>44</v>
      </c>
      <c r="E151" s="1">
        <v>84.042887937793381</v>
      </c>
      <c r="F151" s="1">
        <v>98.672500000000014</v>
      </c>
    </row>
    <row r="152" spans="1:6">
      <c r="A152">
        <v>642</v>
      </c>
      <c r="B152" t="s">
        <v>200</v>
      </c>
      <c r="C152">
        <v>12</v>
      </c>
      <c r="D152" s="1">
        <v>35.5</v>
      </c>
      <c r="E152" s="1">
        <v>68.6458862386405</v>
      </c>
      <c r="F152" s="1">
        <v>86.525273822065671</v>
      </c>
    </row>
    <row r="153" spans="1:6">
      <c r="A153">
        <v>643</v>
      </c>
      <c r="B153" t="s">
        <v>201</v>
      </c>
      <c r="C153">
        <v>16</v>
      </c>
      <c r="D153" s="1">
        <v>74.400000000000006</v>
      </c>
      <c r="E153" s="1">
        <v>92.788000000000011</v>
      </c>
      <c r="F153" s="1">
        <v>96.457499999999996</v>
      </c>
    </row>
    <row r="154" spans="1:6">
      <c r="A154">
        <v>646</v>
      </c>
      <c r="B154" t="s">
        <v>202</v>
      </c>
      <c r="C154">
        <v>9</v>
      </c>
      <c r="D154" s="1">
        <v>0.89999999999999991</v>
      </c>
      <c r="E154" s="1">
        <v>40.068054822168627</v>
      </c>
      <c r="F154" s="1">
        <v>82.313999999999993</v>
      </c>
    </row>
    <row r="155" spans="1:6">
      <c r="A155">
        <v>659</v>
      </c>
      <c r="B155" t="s">
        <v>203</v>
      </c>
      <c r="C155">
        <v>4</v>
      </c>
      <c r="D155" s="1">
        <v>7.5075075075075075</v>
      </c>
      <c r="E155" s="1">
        <v>34.028748542451297</v>
      </c>
      <c r="F155" s="1">
        <v>67.416587077674535</v>
      </c>
    </row>
    <row r="156" spans="1:6">
      <c r="A156">
        <v>660</v>
      </c>
      <c r="B156" t="s">
        <v>204</v>
      </c>
      <c r="C156">
        <v>4</v>
      </c>
      <c r="D156" s="1">
        <v>32.049549686775094</v>
      </c>
      <c r="E156" s="1">
        <v>62.36820015220038</v>
      </c>
      <c r="F156" s="1">
        <v>95.756038687423626</v>
      </c>
    </row>
    <row r="157" spans="1:6">
      <c r="A157">
        <v>662</v>
      </c>
      <c r="B157" t="s">
        <v>205</v>
      </c>
      <c r="C157">
        <v>4</v>
      </c>
      <c r="D157" s="1">
        <v>5.2</v>
      </c>
      <c r="E157" s="1">
        <v>26.606563867373183</v>
      </c>
      <c r="F157" s="1">
        <v>56.47279080601092</v>
      </c>
    </row>
    <row r="158" spans="1:6">
      <c r="A158">
        <v>666</v>
      </c>
      <c r="B158" t="s">
        <v>206</v>
      </c>
      <c r="C158">
        <v>2</v>
      </c>
      <c r="D158" s="1">
        <v>81.481481481481481</v>
      </c>
      <c r="E158" s="1">
        <v>91.810355972807045</v>
      </c>
      <c r="F158" s="1">
        <v>97.256</v>
      </c>
    </row>
    <row r="159" spans="1:6">
      <c r="A159">
        <v>670</v>
      </c>
      <c r="B159" t="s">
        <v>207</v>
      </c>
      <c r="C159">
        <v>4</v>
      </c>
      <c r="D159" s="1">
        <v>6</v>
      </c>
      <c r="E159" s="1">
        <v>20.451572051282447</v>
      </c>
      <c r="F159" s="1">
        <v>45.175262722809741</v>
      </c>
    </row>
    <row r="160" spans="1:6">
      <c r="A160">
        <v>678</v>
      </c>
      <c r="B160" t="s">
        <v>208</v>
      </c>
      <c r="C160">
        <v>8</v>
      </c>
      <c r="D160" s="1">
        <v>10.4</v>
      </c>
      <c r="E160" s="1">
        <v>41.518911475581149</v>
      </c>
      <c r="F160" s="1">
        <v>62.14295129379272</v>
      </c>
    </row>
    <row r="161" spans="1:6">
      <c r="A161">
        <v>682</v>
      </c>
      <c r="B161" t="s">
        <v>209</v>
      </c>
      <c r="C161">
        <v>17</v>
      </c>
      <c r="D161" s="1">
        <v>46.546546546546544</v>
      </c>
      <c r="E161" s="1">
        <v>62.866107982023287</v>
      </c>
      <c r="F161" s="1">
        <v>79.742152986159027</v>
      </c>
    </row>
    <row r="162" spans="1:6">
      <c r="A162">
        <v>686</v>
      </c>
      <c r="B162" t="s">
        <v>210</v>
      </c>
      <c r="C162">
        <v>8</v>
      </c>
      <c r="D162" s="1">
        <v>8.4</v>
      </c>
      <c r="E162" s="1">
        <v>36.83655167727138</v>
      </c>
      <c r="F162" s="1">
        <v>82.161938794684247</v>
      </c>
    </row>
    <row r="163" spans="1:6">
      <c r="A163">
        <v>694</v>
      </c>
      <c r="B163" t="s">
        <v>211</v>
      </c>
      <c r="C163">
        <v>8</v>
      </c>
      <c r="D163" s="1">
        <v>0.59940059940059942</v>
      </c>
      <c r="E163" s="1">
        <v>32.570072768925229</v>
      </c>
      <c r="F163" s="1">
        <v>80.16262419596697</v>
      </c>
    </row>
    <row r="164" spans="1:6">
      <c r="A164">
        <v>702</v>
      </c>
      <c r="B164" t="s">
        <v>212</v>
      </c>
      <c r="C164">
        <v>21</v>
      </c>
      <c r="D164" s="1">
        <v>100</v>
      </c>
      <c r="E164" s="1">
        <v>100</v>
      </c>
      <c r="F164" s="1">
        <v>100</v>
      </c>
    </row>
    <row r="165" spans="1:6">
      <c r="A165">
        <v>703</v>
      </c>
      <c r="B165" t="s">
        <v>213</v>
      </c>
      <c r="C165">
        <v>12</v>
      </c>
      <c r="D165" s="1">
        <v>69.530469530469531</v>
      </c>
      <c r="E165" s="1">
        <v>85.704999999999998</v>
      </c>
      <c r="F165" s="1">
        <v>89.085499999999996</v>
      </c>
    </row>
    <row r="166" spans="1:6">
      <c r="A166">
        <v>704</v>
      </c>
      <c r="B166" t="s">
        <v>214</v>
      </c>
      <c r="C166">
        <v>21</v>
      </c>
      <c r="D166" s="1">
        <v>1.1999999999999997</v>
      </c>
      <c r="E166" s="1">
        <v>34.687410117121843</v>
      </c>
      <c r="F166" s="1">
        <v>61.382147682886242</v>
      </c>
    </row>
    <row r="167" spans="1:6">
      <c r="A167">
        <v>705</v>
      </c>
      <c r="B167" t="s">
        <v>215</v>
      </c>
      <c r="C167">
        <v>12</v>
      </c>
      <c r="D167" s="1">
        <v>55.8</v>
      </c>
      <c r="E167" s="1">
        <v>74.074895012363953</v>
      </c>
      <c r="F167" s="1">
        <v>89.485500000000002</v>
      </c>
    </row>
    <row r="168" spans="1:6">
      <c r="A168">
        <v>706</v>
      </c>
      <c r="B168" t="s">
        <v>216</v>
      </c>
      <c r="C168">
        <v>9</v>
      </c>
      <c r="D168" s="1">
        <v>8.8999999999999986</v>
      </c>
      <c r="E168" s="1">
        <v>57.738519509124302</v>
      </c>
      <c r="F168" s="1">
        <v>87.386999999999986</v>
      </c>
    </row>
    <row r="169" spans="1:6">
      <c r="A169">
        <v>710</v>
      </c>
      <c r="B169" t="s">
        <v>217</v>
      </c>
      <c r="C169">
        <v>10</v>
      </c>
      <c r="D169" s="1">
        <v>53.1</v>
      </c>
      <c r="E169" s="1">
        <v>74.437031450056409</v>
      </c>
      <c r="F169" s="1">
        <v>93.206999999999994</v>
      </c>
    </row>
    <row r="170" spans="1:6">
      <c r="A170">
        <v>716</v>
      </c>
      <c r="B170" t="s">
        <v>218</v>
      </c>
      <c r="C170">
        <v>26</v>
      </c>
      <c r="D170" s="1">
        <v>27.999999999999996</v>
      </c>
      <c r="E170" s="1">
        <v>56.046899971745155</v>
      </c>
      <c r="F170" s="1">
        <v>87.712499999999991</v>
      </c>
    </row>
    <row r="171" spans="1:6">
      <c r="A171">
        <v>724</v>
      </c>
      <c r="B171" t="s">
        <v>219</v>
      </c>
      <c r="C171">
        <v>11</v>
      </c>
      <c r="D171" s="1">
        <v>99.099099099099092</v>
      </c>
      <c r="E171" s="1">
        <v>100</v>
      </c>
      <c r="F171" s="1">
        <v>100</v>
      </c>
    </row>
    <row r="172" spans="1:6">
      <c r="A172">
        <v>732</v>
      </c>
      <c r="B172" t="s">
        <v>220</v>
      </c>
      <c r="C172">
        <v>7</v>
      </c>
      <c r="D172" s="1">
        <v>58.564615401420689</v>
      </c>
      <c r="E172" s="1">
        <v>92.921312157055098</v>
      </c>
      <c r="F172" s="1">
        <v>94.903999999999996</v>
      </c>
    </row>
    <row r="173" spans="1:6">
      <c r="A173">
        <v>736</v>
      </c>
      <c r="B173" t="s">
        <v>221</v>
      </c>
      <c r="C173">
        <v>9</v>
      </c>
      <c r="D173" s="1">
        <v>0.69930069930069927</v>
      </c>
      <c r="E173" s="1">
        <v>34.737732410016029</v>
      </c>
      <c r="F173" s="1">
        <v>87.033500000000004</v>
      </c>
    </row>
    <row r="174" spans="1:6">
      <c r="A174">
        <v>740</v>
      </c>
      <c r="B174" t="s">
        <v>222</v>
      </c>
      <c r="C174">
        <v>6</v>
      </c>
      <c r="D174" s="1">
        <v>1.2012012012012012</v>
      </c>
      <c r="E174" s="1">
        <v>20.118500671948468</v>
      </c>
      <c r="F174" s="1">
        <v>46.705202216036</v>
      </c>
    </row>
    <row r="175" spans="1:6">
      <c r="A175">
        <v>748</v>
      </c>
      <c r="B175" t="s">
        <v>223</v>
      </c>
      <c r="C175">
        <v>26</v>
      </c>
      <c r="D175" s="1">
        <v>7.2647833032996294</v>
      </c>
      <c r="E175" s="1">
        <v>18.811027700201777</v>
      </c>
      <c r="F175" s="1">
        <v>49.347646346608656</v>
      </c>
    </row>
    <row r="176" spans="1:6">
      <c r="A176">
        <v>752</v>
      </c>
      <c r="B176" t="s">
        <v>224</v>
      </c>
      <c r="C176">
        <v>11</v>
      </c>
      <c r="D176" s="1">
        <v>85.2</v>
      </c>
      <c r="E176" s="1">
        <v>95.907999999999987</v>
      </c>
      <c r="F176" s="1">
        <v>97.91149999999999</v>
      </c>
    </row>
    <row r="177" spans="1:6">
      <c r="A177">
        <v>756</v>
      </c>
      <c r="B177" t="s">
        <v>225</v>
      </c>
      <c r="C177">
        <v>11</v>
      </c>
      <c r="D177" s="1">
        <v>97.697697697697706</v>
      </c>
      <c r="E177" s="1">
        <v>98.2</v>
      </c>
      <c r="F177" s="1">
        <v>98.2</v>
      </c>
    </row>
    <row r="178" spans="1:6">
      <c r="A178">
        <v>760</v>
      </c>
      <c r="B178" t="s">
        <v>226</v>
      </c>
      <c r="C178">
        <v>17</v>
      </c>
      <c r="D178" s="1">
        <v>73.2</v>
      </c>
      <c r="E178" s="1">
        <v>86.132500000000007</v>
      </c>
      <c r="F178" s="1">
        <v>89.708999999999989</v>
      </c>
    </row>
    <row r="179" spans="1:6">
      <c r="A179">
        <v>762</v>
      </c>
      <c r="B179" t="s">
        <v>227</v>
      </c>
      <c r="C179">
        <v>15</v>
      </c>
      <c r="D179" s="1">
        <v>14.100000000000001</v>
      </c>
      <c r="E179" s="1">
        <v>52.041532368500008</v>
      </c>
      <c r="F179" s="1">
        <v>84.263500000000008</v>
      </c>
    </row>
    <row r="180" spans="1:6">
      <c r="A180">
        <v>764</v>
      </c>
      <c r="B180" t="s">
        <v>228</v>
      </c>
      <c r="C180">
        <v>21</v>
      </c>
      <c r="D180" s="1">
        <v>5.8058058058058064</v>
      </c>
      <c r="E180" s="1">
        <v>34.828890709499518</v>
      </c>
      <c r="F180" s="1">
        <v>55.703917741864899</v>
      </c>
    </row>
    <row r="181" spans="1:6">
      <c r="A181">
        <v>768</v>
      </c>
      <c r="B181" t="s">
        <v>229</v>
      </c>
      <c r="C181">
        <v>8</v>
      </c>
      <c r="D181" s="1">
        <v>0.3003003003003003</v>
      </c>
      <c r="E181" s="1">
        <v>26.952538116420605</v>
      </c>
      <c r="F181" s="1">
        <v>78.122069492894781</v>
      </c>
    </row>
    <row r="182" spans="1:6">
      <c r="A182">
        <v>776</v>
      </c>
      <c r="B182" t="s">
        <v>230</v>
      </c>
      <c r="C182">
        <v>24</v>
      </c>
      <c r="D182" s="1">
        <v>0</v>
      </c>
      <c r="E182" s="1">
        <v>14.259761944917386</v>
      </c>
      <c r="F182" s="1">
        <v>42.069475525880591</v>
      </c>
    </row>
    <row r="183" spans="1:6">
      <c r="A183">
        <v>780</v>
      </c>
      <c r="B183" t="s">
        <v>231</v>
      </c>
      <c r="C183">
        <v>4</v>
      </c>
      <c r="D183" s="1">
        <v>21.121121121121121</v>
      </c>
      <c r="E183" s="1">
        <v>25.751167128858562</v>
      </c>
      <c r="F183" s="1">
        <v>32.96543834571262</v>
      </c>
    </row>
    <row r="184" spans="1:6">
      <c r="A184">
        <v>784</v>
      </c>
      <c r="B184" t="s">
        <v>232</v>
      </c>
      <c r="C184">
        <v>17</v>
      </c>
      <c r="D184" s="1">
        <v>86.5</v>
      </c>
      <c r="E184" s="1">
        <v>96.0625</v>
      </c>
      <c r="F184" s="1">
        <v>98.449999999999989</v>
      </c>
    </row>
    <row r="185" spans="1:6">
      <c r="A185">
        <v>788</v>
      </c>
      <c r="B185" t="s">
        <v>233</v>
      </c>
      <c r="C185">
        <v>7</v>
      </c>
      <c r="D185" s="1">
        <v>53.7</v>
      </c>
      <c r="E185" s="1">
        <v>80.828043686979186</v>
      </c>
      <c r="F185" s="1">
        <v>94.319000000000003</v>
      </c>
    </row>
    <row r="186" spans="1:6">
      <c r="A186">
        <v>792</v>
      </c>
      <c r="B186" t="s">
        <v>234</v>
      </c>
      <c r="C186">
        <v>13</v>
      </c>
      <c r="D186" s="1">
        <v>78.900000000000006</v>
      </c>
      <c r="E186" s="1">
        <v>90.111500000000007</v>
      </c>
      <c r="F186" s="1">
        <v>94.713000000000008</v>
      </c>
    </row>
    <row r="187" spans="1:6">
      <c r="A187">
        <v>795</v>
      </c>
      <c r="B187" t="s">
        <v>235</v>
      </c>
      <c r="C187">
        <v>15</v>
      </c>
      <c r="D187" s="1">
        <v>26.185991196041265</v>
      </c>
      <c r="E187" s="1">
        <v>59.093042816215615</v>
      </c>
      <c r="F187" s="1">
        <v>68.655784242347664</v>
      </c>
    </row>
    <row r="188" spans="1:6">
      <c r="A188">
        <v>796</v>
      </c>
      <c r="B188" t="s">
        <v>236</v>
      </c>
      <c r="C188">
        <v>4</v>
      </c>
      <c r="D188" s="1">
        <v>9.1999999999999993</v>
      </c>
      <c r="E188" s="1">
        <v>36.816807995832121</v>
      </c>
      <c r="F188" s="1">
        <v>70.20464653105536</v>
      </c>
    </row>
    <row r="189" spans="1:6">
      <c r="A189">
        <v>800</v>
      </c>
      <c r="B189" t="s">
        <v>237</v>
      </c>
      <c r="C189">
        <v>9</v>
      </c>
      <c r="D189" s="1">
        <v>0.59940059940059942</v>
      </c>
      <c r="E189" s="1">
        <v>44.732615837771775</v>
      </c>
      <c r="F189" s="1">
        <v>77.084000000000003</v>
      </c>
    </row>
    <row r="190" spans="1:6">
      <c r="A190">
        <v>804</v>
      </c>
      <c r="B190" t="s">
        <v>238</v>
      </c>
      <c r="C190">
        <v>14</v>
      </c>
      <c r="D190" s="1">
        <v>54.4</v>
      </c>
      <c r="E190" s="1">
        <v>79.025366684258216</v>
      </c>
      <c r="F190" s="1">
        <v>94.638000000000005</v>
      </c>
    </row>
    <row r="191" spans="1:6">
      <c r="A191">
        <v>807</v>
      </c>
      <c r="B191" t="s">
        <v>239</v>
      </c>
      <c r="C191">
        <v>12</v>
      </c>
      <c r="D191" s="1">
        <v>54.1</v>
      </c>
      <c r="E191" s="1">
        <v>84.471657275639259</v>
      </c>
      <c r="F191" s="1">
        <v>91.4285</v>
      </c>
    </row>
    <row r="192" spans="1:6">
      <c r="A192">
        <v>818</v>
      </c>
      <c r="B192" t="s">
        <v>240</v>
      </c>
      <c r="C192">
        <v>7</v>
      </c>
      <c r="D192" s="1">
        <v>52.7</v>
      </c>
      <c r="E192" s="1">
        <v>82.298000000000002</v>
      </c>
      <c r="F192" s="1">
        <v>89.290500000000009</v>
      </c>
    </row>
    <row r="193" spans="1:6">
      <c r="A193">
        <v>826</v>
      </c>
      <c r="B193" t="s">
        <v>241</v>
      </c>
      <c r="C193">
        <v>11</v>
      </c>
      <c r="D193" s="1">
        <v>96.7</v>
      </c>
      <c r="E193" s="1">
        <v>96.9</v>
      </c>
      <c r="F193" s="1">
        <v>96.9</v>
      </c>
    </row>
    <row r="194" spans="1:6">
      <c r="A194">
        <v>834</v>
      </c>
      <c r="B194" t="s">
        <v>242</v>
      </c>
      <c r="C194">
        <v>26</v>
      </c>
      <c r="D194" s="1">
        <v>1.7000000000000002</v>
      </c>
      <c r="E194" s="1">
        <v>37.636032390636238</v>
      </c>
      <c r="F194" s="1">
        <v>84.298000000000002</v>
      </c>
    </row>
    <row r="195" spans="1:6">
      <c r="A195">
        <v>840</v>
      </c>
      <c r="B195" t="s">
        <v>243</v>
      </c>
      <c r="C195">
        <v>2</v>
      </c>
      <c r="D195" s="1">
        <v>81.481481481481481</v>
      </c>
      <c r="E195" s="1">
        <v>90.04301389740067</v>
      </c>
      <c r="F195" s="1">
        <v>97.517214409291228</v>
      </c>
    </row>
    <row r="196" spans="1:6">
      <c r="A196">
        <v>850</v>
      </c>
      <c r="B196" t="s">
        <v>244</v>
      </c>
      <c r="C196">
        <v>4</v>
      </c>
      <c r="D196" s="1">
        <v>46.4</v>
      </c>
      <c r="E196" s="1">
        <v>68.228069983436598</v>
      </c>
      <c r="F196" s="1">
        <v>98.873000000000005</v>
      </c>
    </row>
    <row r="197" spans="1:6">
      <c r="A197">
        <v>854</v>
      </c>
      <c r="B197" t="s">
        <v>245</v>
      </c>
      <c r="C197">
        <v>8</v>
      </c>
      <c r="D197" s="1">
        <v>0.70070070070070078</v>
      </c>
      <c r="E197" s="1">
        <v>35.303755081180597</v>
      </c>
      <c r="F197" s="1">
        <v>85.75</v>
      </c>
    </row>
    <row r="198" spans="1:6">
      <c r="A198">
        <v>858</v>
      </c>
      <c r="B198" t="s">
        <v>246</v>
      </c>
      <c r="C198">
        <v>6</v>
      </c>
      <c r="D198" s="1">
        <v>58.3</v>
      </c>
      <c r="E198" s="1">
        <v>69.894585656903246</v>
      </c>
      <c r="F198" s="1">
        <v>86.587348191960132</v>
      </c>
    </row>
    <row r="199" spans="1:6">
      <c r="A199">
        <v>860</v>
      </c>
      <c r="B199" t="s">
        <v>247</v>
      </c>
      <c r="C199">
        <v>15</v>
      </c>
      <c r="D199" s="1">
        <v>22.922922922922922</v>
      </c>
      <c r="E199" s="1">
        <v>57.114377766934254</v>
      </c>
      <c r="F199" s="1">
        <v>84.049342040756144</v>
      </c>
    </row>
    <row r="200" spans="1:6">
      <c r="A200">
        <v>862</v>
      </c>
      <c r="B200" t="s">
        <v>248</v>
      </c>
      <c r="C200">
        <v>6</v>
      </c>
      <c r="D200" s="1">
        <v>78.5</v>
      </c>
      <c r="E200" s="1">
        <v>99.349500000000006</v>
      </c>
      <c r="F200" s="1">
        <v>99.92</v>
      </c>
    </row>
    <row r="201" spans="1:6">
      <c r="A201">
        <v>882</v>
      </c>
      <c r="B201" t="s">
        <v>249</v>
      </c>
      <c r="C201">
        <v>24</v>
      </c>
      <c r="D201" s="1">
        <v>0.2</v>
      </c>
      <c r="E201" s="1">
        <v>13.524035573392794</v>
      </c>
      <c r="F201" s="1">
        <v>38.698582765320296</v>
      </c>
    </row>
    <row r="202" spans="1:6">
      <c r="A202">
        <v>887</v>
      </c>
      <c r="B202" t="s">
        <v>250</v>
      </c>
      <c r="C202">
        <v>17</v>
      </c>
      <c r="D202" s="1">
        <v>20.3</v>
      </c>
      <c r="E202" s="1">
        <v>54.011946777994439</v>
      </c>
      <c r="F202" s="1">
        <v>85.914000000000001</v>
      </c>
    </row>
    <row r="203" spans="1:6">
      <c r="A203">
        <v>891</v>
      </c>
      <c r="B203" t="s">
        <v>251</v>
      </c>
      <c r="C203">
        <v>12</v>
      </c>
      <c r="D203" s="1">
        <v>54.1</v>
      </c>
      <c r="E203" s="1">
        <v>75.753455054515072</v>
      </c>
      <c r="F203" s="1">
        <v>89.910499999999999</v>
      </c>
    </row>
    <row r="204" spans="1:6">
      <c r="A204">
        <v>894</v>
      </c>
      <c r="B204" t="s">
        <v>252</v>
      </c>
      <c r="C204">
        <v>26</v>
      </c>
      <c r="D204" s="1">
        <v>10.899999999999999</v>
      </c>
      <c r="E204" s="1">
        <v>44.943709743513431</v>
      </c>
      <c r="F204" s="1">
        <v>87.429000000000002</v>
      </c>
    </row>
  </sheetData>
  <pageMargins left="0.7" right="0.7" top="0.75" bottom="0.75" header="0.3" footer="0.3"/>
  <customProperties>
    <customPr name="EpmWorksheetKeyString_GUI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18F02-84AD-492D-A5D8-FD242C5DEE0A}">
  <dimension ref="A1:F204"/>
  <sheetViews>
    <sheetView workbookViewId="0"/>
  </sheetViews>
  <sheetFormatPr defaultRowHeight="15"/>
  <sheetData>
    <row r="1" spans="1:6">
      <c r="A1" t="s">
        <v>44</v>
      </c>
      <c r="B1" t="s">
        <v>265</v>
      </c>
      <c r="C1" t="s">
        <v>46</v>
      </c>
    </row>
    <row r="2" spans="1:6">
      <c r="A2" t="s">
        <v>44</v>
      </c>
      <c r="B2" t="s">
        <v>29</v>
      </c>
    </row>
    <row r="3" spans="1:6">
      <c r="A3" t="s">
        <v>44</v>
      </c>
      <c r="D3" t="s">
        <v>266</v>
      </c>
      <c r="E3" t="s">
        <v>267</v>
      </c>
      <c r="F3" t="s">
        <v>268</v>
      </c>
    </row>
    <row r="4" spans="1:6">
      <c r="A4" t="s">
        <v>50</v>
      </c>
      <c r="B4" t="s">
        <v>51</v>
      </c>
      <c r="C4" t="s">
        <v>52</v>
      </c>
      <c r="D4">
        <v>2010</v>
      </c>
      <c r="E4">
        <v>2050</v>
      </c>
      <c r="F4">
        <v>2100</v>
      </c>
    </row>
    <row r="5" spans="1:6">
      <c r="A5">
        <v>4</v>
      </c>
      <c r="B5" t="s">
        <v>53</v>
      </c>
      <c r="C5" s="2">
        <v>25</v>
      </c>
      <c r="D5" s="1">
        <v>2.3923092820976208</v>
      </c>
      <c r="E5" s="1">
        <v>38.417512406982418</v>
      </c>
      <c r="F5" s="1">
        <v>0</v>
      </c>
    </row>
    <row r="6" spans="1:6">
      <c r="A6">
        <v>8</v>
      </c>
      <c r="B6" t="s">
        <v>54</v>
      </c>
      <c r="C6" s="2">
        <v>12</v>
      </c>
      <c r="D6" s="1">
        <v>8</v>
      </c>
      <c r="E6" s="1">
        <v>65.600302333333332</v>
      </c>
      <c r="F6" s="1">
        <v>0</v>
      </c>
    </row>
    <row r="7" spans="1:6">
      <c r="A7">
        <v>12</v>
      </c>
      <c r="B7" t="s">
        <v>55</v>
      </c>
      <c r="C7" s="2">
        <v>7</v>
      </c>
      <c r="D7" s="1">
        <v>12.7</v>
      </c>
      <c r="E7" s="1">
        <v>90.152349333333333</v>
      </c>
      <c r="F7" s="1">
        <v>0</v>
      </c>
    </row>
    <row r="8" spans="1:6">
      <c r="A8">
        <v>16</v>
      </c>
      <c r="B8" t="s">
        <v>56</v>
      </c>
      <c r="C8" s="2">
        <v>24</v>
      </c>
      <c r="D8" s="1">
        <v>0</v>
      </c>
      <c r="E8" s="1">
        <v>0</v>
      </c>
      <c r="F8" s="1">
        <v>0</v>
      </c>
    </row>
    <row r="9" spans="1:6">
      <c r="A9">
        <v>20</v>
      </c>
      <c r="B9" t="s">
        <v>57</v>
      </c>
      <c r="C9" s="2">
        <v>11</v>
      </c>
      <c r="D9" s="1">
        <v>0</v>
      </c>
      <c r="E9" s="1">
        <v>0</v>
      </c>
      <c r="F9" s="1">
        <v>0</v>
      </c>
    </row>
    <row r="10" spans="1:6">
      <c r="A10">
        <v>24</v>
      </c>
      <c r="B10" t="s">
        <v>58</v>
      </c>
      <c r="C10" s="2">
        <v>26</v>
      </c>
      <c r="D10" s="1">
        <v>12</v>
      </c>
      <c r="E10" s="1">
        <v>12.6</v>
      </c>
      <c r="F10" s="1">
        <v>0</v>
      </c>
    </row>
    <row r="11" spans="1:6">
      <c r="A11">
        <v>31</v>
      </c>
      <c r="B11" t="s">
        <v>59</v>
      </c>
      <c r="C11" s="2">
        <v>16</v>
      </c>
      <c r="D11" s="1">
        <v>35</v>
      </c>
      <c r="E11" s="1">
        <v>31.506430935280378</v>
      </c>
      <c r="F11" s="1">
        <v>0</v>
      </c>
    </row>
    <row r="12" spans="1:6">
      <c r="A12">
        <v>32</v>
      </c>
      <c r="B12" t="s">
        <v>60</v>
      </c>
      <c r="C12" s="2">
        <v>6</v>
      </c>
      <c r="D12" s="1">
        <v>20.413360948016866</v>
      </c>
      <c r="E12" s="1">
        <v>34.883619121462687</v>
      </c>
      <c r="F12" s="1">
        <v>0</v>
      </c>
    </row>
    <row r="13" spans="1:6">
      <c r="A13">
        <v>36</v>
      </c>
      <c r="B13" t="s">
        <v>61</v>
      </c>
      <c r="C13" s="2">
        <v>24</v>
      </c>
      <c r="D13" s="1">
        <v>17.286000000000001</v>
      </c>
      <c r="E13" s="1">
        <v>14.92960000000007</v>
      </c>
      <c r="F13" s="1">
        <v>0</v>
      </c>
    </row>
    <row r="14" spans="1:6">
      <c r="A14">
        <v>40</v>
      </c>
      <c r="B14" t="s">
        <v>62</v>
      </c>
      <c r="C14" s="2">
        <v>11</v>
      </c>
      <c r="D14" s="1">
        <v>0</v>
      </c>
      <c r="E14" s="1">
        <v>0</v>
      </c>
      <c r="F14" s="1">
        <v>0</v>
      </c>
    </row>
    <row r="15" spans="1:6">
      <c r="A15">
        <v>44</v>
      </c>
      <c r="B15" t="s">
        <v>63</v>
      </c>
      <c r="C15" s="2">
        <v>4</v>
      </c>
      <c r="D15" s="1">
        <v>7.0000000000000009</v>
      </c>
      <c r="E15" s="1">
        <v>0</v>
      </c>
      <c r="F15" s="1">
        <v>0</v>
      </c>
    </row>
    <row r="16" spans="1:6">
      <c r="A16">
        <v>48</v>
      </c>
      <c r="B16" t="s">
        <v>64</v>
      </c>
      <c r="C16" s="2">
        <v>17</v>
      </c>
      <c r="D16" s="1">
        <v>0</v>
      </c>
      <c r="E16" s="1">
        <v>0</v>
      </c>
      <c r="F16" s="1">
        <v>0</v>
      </c>
    </row>
    <row r="17" spans="1:6">
      <c r="A17">
        <v>50</v>
      </c>
      <c r="B17" t="s">
        <v>65</v>
      </c>
      <c r="C17" s="2">
        <v>25</v>
      </c>
      <c r="D17" s="1">
        <v>2.3923092820976208</v>
      </c>
      <c r="E17" s="1">
        <v>28.507873646566779</v>
      </c>
      <c r="F17" s="1">
        <v>0</v>
      </c>
    </row>
    <row r="18" spans="1:6">
      <c r="A18">
        <v>51</v>
      </c>
      <c r="B18" t="s">
        <v>66</v>
      </c>
      <c r="C18" s="2">
        <v>16</v>
      </c>
      <c r="D18" s="1">
        <v>29.2</v>
      </c>
      <c r="E18" s="1">
        <v>78.60337676629365</v>
      </c>
      <c r="F18" s="1">
        <v>38.537806333333364</v>
      </c>
    </row>
    <row r="19" spans="1:6">
      <c r="A19">
        <v>52</v>
      </c>
      <c r="B19" t="s">
        <v>67</v>
      </c>
      <c r="C19" s="2">
        <v>4</v>
      </c>
      <c r="D19" s="1">
        <v>2.2999999999999998</v>
      </c>
      <c r="E19" s="1">
        <v>0</v>
      </c>
      <c r="F19" s="1">
        <v>0</v>
      </c>
    </row>
    <row r="20" spans="1:6">
      <c r="A20">
        <v>56</v>
      </c>
      <c r="B20" t="s">
        <v>68</v>
      </c>
      <c r="C20" s="2">
        <v>11</v>
      </c>
      <c r="D20" s="1">
        <v>0</v>
      </c>
      <c r="E20" s="1">
        <v>0</v>
      </c>
      <c r="F20" s="1">
        <v>0</v>
      </c>
    </row>
    <row r="21" spans="1:6">
      <c r="A21">
        <v>64</v>
      </c>
      <c r="B21" t="s">
        <v>69</v>
      </c>
      <c r="C21" s="2">
        <v>25</v>
      </c>
      <c r="D21" s="1">
        <v>2.3923092820976208</v>
      </c>
      <c r="E21" s="1">
        <v>0</v>
      </c>
      <c r="F21" s="1">
        <v>0</v>
      </c>
    </row>
    <row r="22" spans="1:6">
      <c r="A22">
        <v>68</v>
      </c>
      <c r="B22" t="s">
        <v>70</v>
      </c>
      <c r="C22" s="2">
        <v>6</v>
      </c>
      <c r="D22" s="1">
        <v>8.4</v>
      </c>
      <c r="E22" s="1">
        <v>51.976723048470326</v>
      </c>
      <c r="F22" s="1">
        <v>0</v>
      </c>
    </row>
    <row r="23" spans="1:6">
      <c r="A23">
        <v>70</v>
      </c>
      <c r="B23" t="s">
        <v>71</v>
      </c>
      <c r="C23" s="2">
        <v>12</v>
      </c>
      <c r="D23" s="1">
        <v>16.420000000000002</v>
      </c>
      <c r="E23" s="1">
        <v>28.279956260090831</v>
      </c>
      <c r="F23" s="1">
        <v>0</v>
      </c>
    </row>
    <row r="24" spans="1:6">
      <c r="A24">
        <v>72</v>
      </c>
      <c r="B24" t="s">
        <v>72</v>
      </c>
      <c r="C24" s="2">
        <v>26</v>
      </c>
      <c r="D24" s="1">
        <v>1.7766330024131629</v>
      </c>
      <c r="E24" s="1">
        <v>0</v>
      </c>
      <c r="F24" s="1">
        <v>0</v>
      </c>
    </row>
    <row r="25" spans="1:6">
      <c r="A25">
        <v>76</v>
      </c>
      <c r="B25" t="s">
        <v>73</v>
      </c>
      <c r="C25" s="2">
        <v>5</v>
      </c>
      <c r="D25" s="1">
        <v>8.4740000000000002</v>
      </c>
      <c r="E25" s="1">
        <v>10.102400000000053</v>
      </c>
      <c r="F25" s="1">
        <v>0</v>
      </c>
    </row>
    <row r="26" spans="1:6">
      <c r="A26">
        <v>84</v>
      </c>
      <c r="B26" t="s">
        <v>74</v>
      </c>
      <c r="C26" s="2">
        <v>4</v>
      </c>
      <c r="D26" s="1">
        <v>5.2824997901916504</v>
      </c>
      <c r="E26" s="1">
        <v>0</v>
      </c>
      <c r="F26" s="1">
        <v>0</v>
      </c>
    </row>
    <row r="27" spans="1:6">
      <c r="A27">
        <v>90</v>
      </c>
      <c r="B27" t="s">
        <v>75</v>
      </c>
      <c r="C27" s="2">
        <v>24</v>
      </c>
      <c r="D27" s="1">
        <v>0</v>
      </c>
      <c r="E27" s="1">
        <v>53.368210999999995</v>
      </c>
      <c r="F27" s="1">
        <v>13.009726000000029</v>
      </c>
    </row>
    <row r="28" spans="1:6">
      <c r="A28">
        <v>96</v>
      </c>
      <c r="B28" t="s">
        <v>76</v>
      </c>
      <c r="C28" s="2">
        <v>21</v>
      </c>
      <c r="D28" s="1">
        <v>0</v>
      </c>
      <c r="E28" s="1">
        <v>0</v>
      </c>
      <c r="F28" s="1">
        <v>0</v>
      </c>
    </row>
    <row r="29" spans="1:6">
      <c r="A29">
        <v>100</v>
      </c>
      <c r="B29" t="s">
        <v>77</v>
      </c>
      <c r="C29" s="2">
        <v>12</v>
      </c>
      <c r="D29" s="1">
        <v>2.7</v>
      </c>
      <c r="E29" s="1">
        <v>0</v>
      </c>
      <c r="F29" s="1">
        <v>0</v>
      </c>
    </row>
    <row r="30" spans="1:6">
      <c r="A30">
        <v>104</v>
      </c>
      <c r="B30" t="s">
        <v>78</v>
      </c>
      <c r="C30" s="2">
        <v>21</v>
      </c>
      <c r="D30" s="1">
        <v>1</v>
      </c>
      <c r="E30" s="1">
        <v>8.7543595508563907</v>
      </c>
      <c r="F30" s="1">
        <v>0</v>
      </c>
    </row>
    <row r="31" spans="1:6">
      <c r="A31">
        <v>108</v>
      </c>
      <c r="B31" t="s">
        <v>79</v>
      </c>
      <c r="C31" s="2">
        <v>9</v>
      </c>
      <c r="D31" s="1">
        <v>0.66429869014916998</v>
      </c>
      <c r="E31" s="1">
        <v>23.126877194609825</v>
      </c>
      <c r="F31" s="1">
        <v>0</v>
      </c>
    </row>
    <row r="32" spans="1:6">
      <c r="A32">
        <v>112</v>
      </c>
      <c r="B32" t="s">
        <v>80</v>
      </c>
      <c r="C32" s="2">
        <v>14</v>
      </c>
      <c r="D32" s="1">
        <v>7.8698000000000006</v>
      </c>
      <c r="E32" s="1">
        <v>0</v>
      </c>
      <c r="F32" s="1">
        <v>0</v>
      </c>
    </row>
    <row r="33" spans="1:6">
      <c r="A33">
        <v>116</v>
      </c>
      <c r="B33" t="s">
        <v>81</v>
      </c>
      <c r="C33" s="2">
        <v>21</v>
      </c>
      <c r="D33" s="1">
        <v>3.1871900000000002</v>
      </c>
      <c r="E33" s="1">
        <v>37.311520895269943</v>
      </c>
      <c r="F33" s="1">
        <v>0</v>
      </c>
    </row>
    <row r="34" spans="1:6">
      <c r="A34">
        <v>120</v>
      </c>
      <c r="B34" t="s">
        <v>82</v>
      </c>
      <c r="C34" s="2">
        <v>8</v>
      </c>
      <c r="D34" s="1">
        <v>1.7947321461083701</v>
      </c>
      <c r="E34" s="1">
        <v>21.399787022764176</v>
      </c>
      <c r="F34" s="1">
        <v>14.277847798323345</v>
      </c>
    </row>
    <row r="35" spans="1:6">
      <c r="A35">
        <v>124</v>
      </c>
      <c r="B35" t="s">
        <v>83</v>
      </c>
      <c r="C35" s="2">
        <v>1</v>
      </c>
      <c r="D35" s="1">
        <v>13.142857142857142</v>
      </c>
      <c r="E35" s="1">
        <v>0</v>
      </c>
      <c r="F35" s="1">
        <v>0</v>
      </c>
    </row>
    <row r="36" spans="1:6">
      <c r="A36">
        <v>132</v>
      </c>
      <c r="B36" t="s">
        <v>84</v>
      </c>
      <c r="C36" s="2">
        <v>8</v>
      </c>
      <c r="D36" s="1">
        <v>17.299999237060501</v>
      </c>
      <c r="E36" s="1">
        <v>2.2737849986608261</v>
      </c>
      <c r="F36" s="1">
        <v>2.2737849986608438</v>
      </c>
    </row>
    <row r="37" spans="1:6">
      <c r="A37">
        <v>140</v>
      </c>
      <c r="B37" t="s">
        <v>85</v>
      </c>
      <c r="C37" s="2">
        <v>8</v>
      </c>
      <c r="D37" s="1">
        <v>1.7947321461083701</v>
      </c>
      <c r="E37" s="1">
        <v>9.0686831194065292</v>
      </c>
      <c r="F37" s="1">
        <v>75.29925661940652</v>
      </c>
    </row>
    <row r="38" spans="1:6">
      <c r="A38">
        <v>144</v>
      </c>
      <c r="B38" t="s">
        <v>86</v>
      </c>
      <c r="C38" s="2">
        <v>25</v>
      </c>
      <c r="D38" s="1">
        <v>3</v>
      </c>
      <c r="E38" s="1">
        <v>0</v>
      </c>
      <c r="F38" s="1">
        <v>0</v>
      </c>
    </row>
    <row r="39" spans="1:6">
      <c r="A39">
        <v>148</v>
      </c>
      <c r="B39" t="s">
        <v>87</v>
      </c>
      <c r="C39" s="2">
        <v>8</v>
      </c>
      <c r="D39" s="1">
        <v>1.7947321461083701</v>
      </c>
      <c r="E39" s="1">
        <v>24.50752098392833</v>
      </c>
      <c r="F39" s="1">
        <v>19.079152263494649</v>
      </c>
    </row>
    <row r="40" spans="1:6">
      <c r="A40">
        <v>152</v>
      </c>
      <c r="B40" t="s">
        <v>88</v>
      </c>
      <c r="C40" s="2">
        <v>6</v>
      </c>
      <c r="D40" s="1">
        <v>19.366666666666667</v>
      </c>
      <c r="E40" s="1">
        <v>35.849999999999987</v>
      </c>
      <c r="F40" s="1">
        <v>0</v>
      </c>
    </row>
    <row r="41" spans="1:6">
      <c r="A41">
        <v>156</v>
      </c>
      <c r="B41" t="s">
        <v>89</v>
      </c>
      <c r="C41" s="2">
        <v>20</v>
      </c>
      <c r="D41" s="1">
        <v>10</v>
      </c>
      <c r="E41" s="1">
        <v>0</v>
      </c>
      <c r="F41" s="1">
        <v>0</v>
      </c>
    </row>
    <row r="42" spans="1:6">
      <c r="A42">
        <v>158</v>
      </c>
      <c r="B42" t="s">
        <v>90</v>
      </c>
      <c r="C42" s="2">
        <v>20</v>
      </c>
      <c r="D42" s="1">
        <v>20.430961706607786</v>
      </c>
      <c r="E42" s="1">
        <v>0</v>
      </c>
      <c r="F42" s="1">
        <v>0</v>
      </c>
    </row>
    <row r="43" spans="1:6">
      <c r="A43">
        <v>170</v>
      </c>
      <c r="B43" t="s">
        <v>91</v>
      </c>
      <c r="C43" s="2">
        <v>6</v>
      </c>
      <c r="D43" s="1">
        <v>10.8</v>
      </c>
      <c r="E43" s="1">
        <v>77.953709693830362</v>
      </c>
      <c r="F43" s="1">
        <v>0</v>
      </c>
    </row>
    <row r="44" spans="1:6">
      <c r="A44">
        <v>174</v>
      </c>
      <c r="B44" t="s">
        <v>92</v>
      </c>
      <c r="C44" s="2">
        <v>9</v>
      </c>
      <c r="D44" s="1">
        <v>0.66429869014916998</v>
      </c>
      <c r="E44" s="1">
        <v>34.771796565158965</v>
      </c>
      <c r="F44" s="1">
        <v>0</v>
      </c>
    </row>
    <row r="45" spans="1:6">
      <c r="A45">
        <v>178</v>
      </c>
      <c r="B45" t="s">
        <v>93</v>
      </c>
      <c r="C45" s="2">
        <v>8</v>
      </c>
      <c r="D45" s="1">
        <v>1.7947321461083701</v>
      </c>
      <c r="E45" s="1">
        <v>0</v>
      </c>
      <c r="F45" s="1">
        <v>0</v>
      </c>
    </row>
    <row r="46" spans="1:6">
      <c r="A46">
        <v>180</v>
      </c>
      <c r="B46" t="s">
        <v>94</v>
      </c>
      <c r="C46" s="2">
        <v>8</v>
      </c>
      <c r="D46" s="1">
        <v>1.7947321461083701</v>
      </c>
      <c r="E46" s="1">
        <v>32.968645930212872</v>
      </c>
      <c r="F46" s="1">
        <v>18.087470655972059</v>
      </c>
    </row>
    <row r="47" spans="1:6">
      <c r="A47">
        <v>188</v>
      </c>
      <c r="B47" t="s">
        <v>95</v>
      </c>
      <c r="C47" s="2">
        <v>4</v>
      </c>
      <c r="D47" s="1">
        <v>8.2600002288818395</v>
      </c>
      <c r="E47" s="1">
        <v>0</v>
      </c>
      <c r="F47" s="1">
        <v>0</v>
      </c>
    </row>
    <row r="48" spans="1:6">
      <c r="A48">
        <v>191</v>
      </c>
      <c r="B48" t="s">
        <v>96</v>
      </c>
      <c r="C48" s="2">
        <v>12</v>
      </c>
      <c r="D48" s="1">
        <v>27.3</v>
      </c>
      <c r="E48" s="1">
        <v>0</v>
      </c>
      <c r="F48" s="1">
        <v>0</v>
      </c>
    </row>
    <row r="49" spans="1:6">
      <c r="A49">
        <v>192</v>
      </c>
      <c r="B49" t="s">
        <v>97</v>
      </c>
      <c r="C49" s="2">
        <v>4</v>
      </c>
      <c r="D49" s="1">
        <v>15.4</v>
      </c>
      <c r="E49" s="1">
        <v>45.193478484872813</v>
      </c>
      <c r="F49" s="1">
        <v>24.506897591584895</v>
      </c>
    </row>
    <row r="50" spans="1:6">
      <c r="A50">
        <v>196</v>
      </c>
      <c r="B50" t="s">
        <v>98</v>
      </c>
      <c r="C50" s="2">
        <v>12</v>
      </c>
      <c r="D50" s="1">
        <v>0</v>
      </c>
      <c r="E50" s="1">
        <v>0</v>
      </c>
      <c r="F50" s="1">
        <v>0</v>
      </c>
    </row>
    <row r="51" spans="1:6">
      <c r="A51">
        <v>203</v>
      </c>
      <c r="B51" t="s">
        <v>99</v>
      </c>
      <c r="C51" s="2">
        <v>12</v>
      </c>
      <c r="D51" s="1">
        <v>0.1</v>
      </c>
      <c r="E51" s="1">
        <v>0</v>
      </c>
      <c r="F51" s="1">
        <v>0</v>
      </c>
    </row>
    <row r="52" spans="1:6">
      <c r="A52">
        <v>204</v>
      </c>
      <c r="B52" t="s">
        <v>100</v>
      </c>
      <c r="C52" s="2">
        <v>8</v>
      </c>
      <c r="D52" s="1">
        <v>1.7947321461083701</v>
      </c>
      <c r="E52" s="1">
        <v>25.569677757707112</v>
      </c>
      <c r="F52" s="1">
        <v>26.095473639578294</v>
      </c>
    </row>
    <row r="53" spans="1:6">
      <c r="A53">
        <v>208</v>
      </c>
      <c r="B53" t="s">
        <v>101</v>
      </c>
      <c r="C53" s="2">
        <v>11</v>
      </c>
      <c r="D53" s="1">
        <v>2.4</v>
      </c>
      <c r="E53" s="1">
        <v>0</v>
      </c>
      <c r="F53" s="1">
        <v>0</v>
      </c>
    </row>
    <row r="54" spans="1:6">
      <c r="A54">
        <v>212</v>
      </c>
      <c r="B54" t="s">
        <v>102</v>
      </c>
      <c r="C54" s="2">
        <v>4</v>
      </c>
      <c r="D54" s="1">
        <v>0</v>
      </c>
      <c r="E54" s="1">
        <v>0</v>
      </c>
      <c r="F54" s="1">
        <v>0</v>
      </c>
    </row>
    <row r="55" spans="1:6">
      <c r="A55">
        <v>214</v>
      </c>
      <c r="B55" t="s">
        <v>103</v>
      </c>
      <c r="C55" s="2">
        <v>4</v>
      </c>
      <c r="D55" s="1">
        <v>12</v>
      </c>
      <c r="E55" s="1">
        <v>0</v>
      </c>
      <c r="F55" s="1">
        <v>0</v>
      </c>
    </row>
    <row r="56" spans="1:6">
      <c r="A56">
        <v>218</v>
      </c>
      <c r="B56" t="s">
        <v>104</v>
      </c>
      <c r="C56" s="2">
        <v>6</v>
      </c>
      <c r="D56" s="1">
        <v>13.8</v>
      </c>
      <c r="E56" s="1">
        <v>62.718770446782806</v>
      </c>
      <c r="F56" s="1">
        <v>0</v>
      </c>
    </row>
    <row r="57" spans="1:6">
      <c r="A57">
        <v>222</v>
      </c>
      <c r="B57" t="s">
        <v>105</v>
      </c>
      <c r="C57" s="2">
        <v>4</v>
      </c>
      <c r="D57" s="1">
        <v>2.8299999237060498</v>
      </c>
      <c r="E57" s="1">
        <v>43.98399579946053</v>
      </c>
      <c r="F57" s="1">
        <v>0</v>
      </c>
    </row>
    <row r="58" spans="1:6">
      <c r="A58">
        <v>226</v>
      </c>
      <c r="B58" t="s">
        <v>106</v>
      </c>
      <c r="C58" s="2">
        <v>8</v>
      </c>
      <c r="D58" s="1">
        <v>1.7947321461083701</v>
      </c>
      <c r="E58" s="1">
        <v>2.3508554320838662</v>
      </c>
      <c r="F58" s="1">
        <v>7.7792078600440737</v>
      </c>
    </row>
    <row r="59" spans="1:6">
      <c r="A59">
        <v>231</v>
      </c>
      <c r="B59" t="s">
        <v>107</v>
      </c>
      <c r="C59" s="2">
        <v>9</v>
      </c>
      <c r="D59" s="1">
        <v>0.66429869014916998</v>
      </c>
      <c r="E59" s="1">
        <v>38.614996627093227</v>
      </c>
      <c r="F59" s="1">
        <v>0</v>
      </c>
    </row>
    <row r="60" spans="1:6">
      <c r="A60">
        <v>232</v>
      </c>
      <c r="B60" t="s">
        <v>108</v>
      </c>
      <c r="C60" s="2">
        <v>9</v>
      </c>
      <c r="D60" s="1">
        <v>0.66429869014916998</v>
      </c>
      <c r="E60" s="1">
        <v>22.498063923318583</v>
      </c>
      <c r="F60" s="1">
        <v>47.999465135679621</v>
      </c>
    </row>
    <row r="61" spans="1:6">
      <c r="A61">
        <v>233</v>
      </c>
      <c r="B61" t="s">
        <v>109</v>
      </c>
      <c r="C61" s="2">
        <v>12</v>
      </c>
      <c r="D61" s="1">
        <v>0.5</v>
      </c>
      <c r="E61" s="1">
        <v>0</v>
      </c>
      <c r="F61" s="1">
        <v>0</v>
      </c>
    </row>
    <row r="62" spans="1:6">
      <c r="A62">
        <v>234</v>
      </c>
      <c r="B62" t="s">
        <v>110</v>
      </c>
      <c r="C62" s="2">
        <v>11</v>
      </c>
      <c r="D62" s="1">
        <v>0</v>
      </c>
      <c r="E62" s="1">
        <v>0</v>
      </c>
      <c r="F62" s="1">
        <v>0</v>
      </c>
    </row>
    <row r="63" spans="1:6">
      <c r="A63">
        <v>238</v>
      </c>
      <c r="B63" t="s">
        <v>111</v>
      </c>
      <c r="C63" s="2">
        <v>6</v>
      </c>
      <c r="D63" s="1">
        <v>0</v>
      </c>
      <c r="E63" s="1">
        <v>0</v>
      </c>
      <c r="F63" s="1">
        <v>0</v>
      </c>
    </row>
    <row r="64" spans="1:6">
      <c r="A64">
        <v>242</v>
      </c>
      <c r="B64" t="s">
        <v>112</v>
      </c>
      <c r="C64" s="2">
        <v>24</v>
      </c>
      <c r="D64" s="1">
        <v>0</v>
      </c>
      <c r="E64" s="1">
        <v>83.466542666666669</v>
      </c>
      <c r="F64" s="1">
        <v>0</v>
      </c>
    </row>
    <row r="65" spans="1:6">
      <c r="A65">
        <v>246</v>
      </c>
      <c r="B65" t="s">
        <v>113</v>
      </c>
      <c r="C65" s="2">
        <v>11</v>
      </c>
      <c r="D65" s="1">
        <v>0</v>
      </c>
      <c r="E65" s="1">
        <v>0</v>
      </c>
      <c r="F65" s="1">
        <v>0</v>
      </c>
    </row>
    <row r="66" spans="1:6">
      <c r="A66">
        <v>250</v>
      </c>
      <c r="B66" t="s">
        <v>114</v>
      </c>
      <c r="C66" s="2">
        <v>11</v>
      </c>
      <c r="D66" s="1">
        <v>0</v>
      </c>
      <c r="E66" s="1">
        <v>0</v>
      </c>
      <c r="F66" s="1">
        <v>0</v>
      </c>
    </row>
    <row r="67" spans="1:6">
      <c r="A67">
        <v>254</v>
      </c>
      <c r="B67" t="s">
        <v>115</v>
      </c>
      <c r="C67" s="2">
        <v>6</v>
      </c>
      <c r="D67" s="1">
        <v>0</v>
      </c>
      <c r="E67" s="1">
        <v>0</v>
      </c>
      <c r="F67" s="1">
        <v>0</v>
      </c>
    </row>
    <row r="68" spans="1:6">
      <c r="A68">
        <v>262</v>
      </c>
      <c r="B68" t="s">
        <v>116</v>
      </c>
      <c r="C68" s="2">
        <v>9</v>
      </c>
      <c r="D68" s="1">
        <v>0.66429869014916998</v>
      </c>
      <c r="E68" s="1">
        <v>16.941815433527218</v>
      </c>
      <c r="F68" s="1">
        <v>0</v>
      </c>
    </row>
    <row r="69" spans="1:6">
      <c r="A69">
        <v>266</v>
      </c>
      <c r="B69" t="s">
        <v>117</v>
      </c>
      <c r="C69" s="2">
        <v>8</v>
      </c>
      <c r="D69" s="1">
        <v>1.7947321461083701</v>
      </c>
      <c r="E69" s="1">
        <v>30.126564432083853</v>
      </c>
      <c r="F69" s="1">
        <v>24.088072560769074</v>
      </c>
    </row>
    <row r="70" spans="1:6">
      <c r="A70">
        <v>268</v>
      </c>
      <c r="B70" t="s">
        <v>118</v>
      </c>
      <c r="C70" s="2">
        <v>16</v>
      </c>
      <c r="D70" s="1">
        <v>3</v>
      </c>
      <c r="E70" s="1">
        <v>60.942447158158281</v>
      </c>
      <c r="F70" s="1">
        <v>19.991940666666665</v>
      </c>
    </row>
    <row r="71" spans="1:6">
      <c r="A71">
        <v>270</v>
      </c>
      <c r="B71" t="s">
        <v>119</v>
      </c>
      <c r="C71" s="2">
        <v>8</v>
      </c>
      <c r="D71" s="1">
        <v>1.7947321461083701</v>
      </c>
      <c r="E71" s="1">
        <v>18.787071332083862</v>
      </c>
      <c r="F71" s="1">
        <v>53.766776861588667</v>
      </c>
    </row>
    <row r="72" spans="1:6">
      <c r="A72">
        <v>276</v>
      </c>
      <c r="B72" t="s">
        <v>120</v>
      </c>
      <c r="C72" s="2">
        <v>11</v>
      </c>
      <c r="D72" s="1">
        <v>2.7</v>
      </c>
      <c r="E72" s="1">
        <v>0</v>
      </c>
      <c r="F72" s="1">
        <v>0</v>
      </c>
    </row>
    <row r="73" spans="1:6">
      <c r="A73">
        <v>288</v>
      </c>
      <c r="B73" t="s">
        <v>121</v>
      </c>
      <c r="C73" s="2">
        <v>8</v>
      </c>
      <c r="D73" s="1">
        <v>1.7947321461083701</v>
      </c>
      <c r="E73" s="1">
        <v>24.287716246831799</v>
      </c>
      <c r="F73" s="1">
        <v>0</v>
      </c>
    </row>
    <row r="74" spans="1:6">
      <c r="A74">
        <v>300</v>
      </c>
      <c r="B74" t="s">
        <v>122</v>
      </c>
      <c r="C74" s="2">
        <v>11</v>
      </c>
      <c r="D74" s="1">
        <v>23.099999999999998</v>
      </c>
      <c r="E74" s="1">
        <v>0</v>
      </c>
      <c r="F74" s="1">
        <v>0</v>
      </c>
    </row>
    <row r="75" spans="1:6">
      <c r="A75">
        <v>304</v>
      </c>
      <c r="B75" t="s">
        <v>123</v>
      </c>
      <c r="C75" s="2">
        <v>27</v>
      </c>
      <c r="D75" s="1">
        <v>0</v>
      </c>
      <c r="E75" s="1">
        <v>0</v>
      </c>
      <c r="F75" s="1">
        <v>0</v>
      </c>
    </row>
    <row r="76" spans="1:6">
      <c r="A76">
        <v>308</v>
      </c>
      <c r="B76" t="s">
        <v>124</v>
      </c>
      <c r="C76" s="2">
        <v>4</v>
      </c>
      <c r="D76" s="1">
        <v>0</v>
      </c>
      <c r="E76" s="1">
        <v>0</v>
      </c>
      <c r="F76" s="1">
        <v>0</v>
      </c>
    </row>
    <row r="77" spans="1:6">
      <c r="A77">
        <v>312</v>
      </c>
      <c r="B77" t="s">
        <v>125</v>
      </c>
      <c r="C77" s="2">
        <v>4</v>
      </c>
      <c r="D77" s="1">
        <v>0</v>
      </c>
      <c r="E77" s="1">
        <v>0</v>
      </c>
      <c r="F77" s="1">
        <v>0</v>
      </c>
    </row>
    <row r="78" spans="1:6">
      <c r="A78">
        <v>320</v>
      </c>
      <c r="B78" t="s">
        <v>126</v>
      </c>
      <c r="C78" s="2">
        <v>4</v>
      </c>
      <c r="D78" s="1">
        <v>5</v>
      </c>
      <c r="E78" s="1">
        <v>13.710695821048482</v>
      </c>
      <c r="F78" s="1">
        <v>0</v>
      </c>
    </row>
    <row r="79" spans="1:6">
      <c r="A79">
        <v>324</v>
      </c>
      <c r="B79" t="s">
        <v>127</v>
      </c>
      <c r="C79" s="2">
        <v>8</v>
      </c>
      <c r="D79" s="1">
        <v>1</v>
      </c>
      <c r="E79" s="1">
        <v>43.655907061758711</v>
      </c>
      <c r="F79" s="1">
        <v>19.969580158873402</v>
      </c>
    </row>
    <row r="80" spans="1:6">
      <c r="A80">
        <v>328</v>
      </c>
      <c r="B80" t="s">
        <v>128</v>
      </c>
      <c r="C80" s="2">
        <v>6</v>
      </c>
      <c r="D80" s="1">
        <v>5</v>
      </c>
      <c r="E80" s="1">
        <v>0.56449809247866245</v>
      </c>
      <c r="F80" s="1">
        <v>0</v>
      </c>
    </row>
    <row r="81" spans="1:6">
      <c r="A81">
        <v>332</v>
      </c>
      <c r="B81" t="s">
        <v>129</v>
      </c>
      <c r="C81" s="2">
        <v>4</v>
      </c>
      <c r="D81" s="1">
        <v>0</v>
      </c>
      <c r="E81" s="1">
        <v>28.229336071774256</v>
      </c>
      <c r="F81" s="1">
        <v>0</v>
      </c>
    </row>
    <row r="82" spans="1:6">
      <c r="A82">
        <v>340</v>
      </c>
      <c r="B82" t="s">
        <v>130</v>
      </c>
      <c r="C82" s="2">
        <v>4</v>
      </c>
      <c r="D82" s="1">
        <v>10</v>
      </c>
      <c r="E82" s="1">
        <v>43.690564778063418</v>
      </c>
      <c r="F82" s="1">
        <v>0</v>
      </c>
    </row>
    <row r="83" spans="1:6">
      <c r="A83">
        <v>344</v>
      </c>
      <c r="B83" t="s">
        <v>131</v>
      </c>
      <c r="C83" s="2">
        <v>20</v>
      </c>
      <c r="D83" s="1">
        <v>0</v>
      </c>
      <c r="E83" s="1">
        <v>0</v>
      </c>
      <c r="F83" s="1">
        <v>0</v>
      </c>
    </row>
    <row r="84" spans="1:6">
      <c r="A84">
        <v>348</v>
      </c>
      <c r="B84" t="s">
        <v>132</v>
      </c>
      <c r="C84" s="2">
        <v>12</v>
      </c>
      <c r="D84" s="1">
        <v>2.2999999999999998</v>
      </c>
      <c r="E84" s="1">
        <v>0</v>
      </c>
      <c r="F84" s="1">
        <v>0</v>
      </c>
    </row>
    <row r="85" spans="1:6">
      <c r="A85">
        <v>352</v>
      </c>
      <c r="B85" t="s">
        <v>133</v>
      </c>
      <c r="C85" s="2">
        <v>11</v>
      </c>
      <c r="D85" s="1">
        <v>90</v>
      </c>
      <c r="E85" s="1">
        <v>0</v>
      </c>
      <c r="F85" s="1">
        <v>0</v>
      </c>
    </row>
    <row r="86" spans="1:6">
      <c r="A86">
        <v>356</v>
      </c>
      <c r="B86" t="s">
        <v>134</v>
      </c>
      <c r="C86" s="2">
        <v>18</v>
      </c>
      <c r="D86" s="1">
        <v>2.2999999999999998</v>
      </c>
      <c r="E86" s="1">
        <v>6.9626622424802296</v>
      </c>
      <c r="F86" s="1">
        <v>0</v>
      </c>
    </row>
    <row r="87" spans="1:6">
      <c r="A87">
        <v>360</v>
      </c>
      <c r="B87" t="s">
        <v>135</v>
      </c>
      <c r="C87" s="2">
        <v>22</v>
      </c>
      <c r="D87" s="1">
        <v>1.9</v>
      </c>
      <c r="E87" s="1">
        <v>0</v>
      </c>
      <c r="F87" s="1">
        <v>0</v>
      </c>
    </row>
    <row r="88" spans="1:6">
      <c r="A88">
        <v>364</v>
      </c>
      <c r="B88" t="s">
        <v>136</v>
      </c>
      <c r="C88" s="2">
        <v>17</v>
      </c>
      <c r="D88" s="1">
        <v>22</v>
      </c>
      <c r="E88" s="1">
        <v>24.312660636226429</v>
      </c>
      <c r="F88" s="1">
        <v>0</v>
      </c>
    </row>
    <row r="89" spans="1:6">
      <c r="A89">
        <v>368</v>
      </c>
      <c r="B89" t="s">
        <v>137</v>
      </c>
      <c r="C89" s="2">
        <v>17</v>
      </c>
      <c r="D89" s="1">
        <v>12.3</v>
      </c>
      <c r="E89" s="1">
        <v>12.790223489371119</v>
      </c>
      <c r="F89" s="1">
        <v>0</v>
      </c>
    </row>
    <row r="90" spans="1:6">
      <c r="A90">
        <v>372</v>
      </c>
      <c r="B90" t="s">
        <v>138</v>
      </c>
      <c r="C90" s="2">
        <v>11</v>
      </c>
      <c r="D90" s="1">
        <v>20.934999999999999</v>
      </c>
      <c r="E90" s="1">
        <v>0</v>
      </c>
      <c r="F90" s="1">
        <v>0</v>
      </c>
    </row>
    <row r="91" spans="1:6">
      <c r="A91">
        <v>376</v>
      </c>
      <c r="B91" t="s">
        <v>139</v>
      </c>
      <c r="C91" s="2">
        <v>17</v>
      </c>
      <c r="D91" s="1">
        <v>5.4177337875351013</v>
      </c>
      <c r="E91" s="1">
        <v>0</v>
      </c>
      <c r="F91" s="1">
        <v>0</v>
      </c>
    </row>
    <row r="92" spans="1:6">
      <c r="A92">
        <v>380</v>
      </c>
      <c r="B92" t="s">
        <v>140</v>
      </c>
      <c r="C92" s="2">
        <v>11</v>
      </c>
      <c r="D92" s="1">
        <v>2.5</v>
      </c>
      <c r="E92" s="1">
        <v>2.900000000000071</v>
      </c>
      <c r="F92" s="1">
        <v>0</v>
      </c>
    </row>
    <row r="93" spans="1:6">
      <c r="A93">
        <v>384</v>
      </c>
      <c r="B93" t="s">
        <v>141</v>
      </c>
      <c r="C93" s="2">
        <v>8</v>
      </c>
      <c r="D93" s="1">
        <v>1.7947321461083701</v>
      </c>
      <c r="E93" s="1">
        <v>34.564905210221916</v>
      </c>
      <c r="F93" s="1">
        <v>0</v>
      </c>
    </row>
    <row r="94" spans="1:6">
      <c r="A94">
        <v>388</v>
      </c>
      <c r="B94" t="s">
        <v>142</v>
      </c>
      <c r="C94" s="2">
        <v>4</v>
      </c>
      <c r="D94" s="1">
        <v>8</v>
      </c>
      <c r="E94" s="1">
        <v>22.062916739001285</v>
      </c>
      <c r="F94" s="1">
        <v>0</v>
      </c>
    </row>
    <row r="95" spans="1:6">
      <c r="A95">
        <v>392</v>
      </c>
      <c r="B95" t="s">
        <v>143</v>
      </c>
      <c r="C95" s="2">
        <v>23</v>
      </c>
      <c r="D95" s="1">
        <v>0</v>
      </c>
      <c r="E95" s="1">
        <v>0</v>
      </c>
      <c r="F95" s="1">
        <v>0</v>
      </c>
    </row>
    <row r="96" spans="1:6">
      <c r="A96">
        <v>398</v>
      </c>
      <c r="B96" t="s">
        <v>144</v>
      </c>
      <c r="C96" s="2">
        <v>15</v>
      </c>
      <c r="D96" s="1">
        <v>6.0422907488986777</v>
      </c>
      <c r="E96" s="1">
        <v>0</v>
      </c>
      <c r="F96" s="1">
        <v>0</v>
      </c>
    </row>
    <row r="97" spans="1:6">
      <c r="A97">
        <v>400</v>
      </c>
      <c r="B97" t="s">
        <v>145</v>
      </c>
      <c r="C97" s="2">
        <v>17</v>
      </c>
      <c r="D97" s="1">
        <v>0</v>
      </c>
      <c r="E97" s="1">
        <v>0</v>
      </c>
      <c r="F97" s="1">
        <v>0</v>
      </c>
    </row>
    <row r="98" spans="1:6">
      <c r="A98">
        <v>404</v>
      </c>
      <c r="B98" t="s">
        <v>146</v>
      </c>
      <c r="C98" s="2">
        <v>9</v>
      </c>
      <c r="D98" s="1">
        <v>4.9000000953674299</v>
      </c>
      <c r="E98" s="1">
        <v>29.84873754655812</v>
      </c>
      <c r="F98" s="1">
        <v>0</v>
      </c>
    </row>
    <row r="99" spans="1:6">
      <c r="A99">
        <v>408</v>
      </c>
      <c r="B99" t="s">
        <v>147</v>
      </c>
      <c r="C99" s="2">
        <v>19</v>
      </c>
      <c r="D99" s="1">
        <v>37.6956376956377</v>
      </c>
      <c r="E99" s="1">
        <v>2.2726145000002163</v>
      </c>
      <c r="F99" s="1">
        <v>2.2726145000003584</v>
      </c>
    </row>
    <row r="100" spans="1:6">
      <c r="A100">
        <v>410</v>
      </c>
      <c r="B100" t="s">
        <v>148</v>
      </c>
      <c r="C100" s="2">
        <v>19</v>
      </c>
      <c r="D100" s="1">
        <v>59.199999999999996</v>
      </c>
      <c r="E100" s="1">
        <v>0</v>
      </c>
      <c r="F100" s="1">
        <v>0</v>
      </c>
    </row>
    <row r="101" spans="1:6">
      <c r="A101">
        <v>414</v>
      </c>
      <c r="B101" t="s">
        <v>149</v>
      </c>
      <c r="C101" s="2">
        <v>17</v>
      </c>
      <c r="D101" s="1">
        <v>0</v>
      </c>
      <c r="E101" s="1">
        <v>0</v>
      </c>
      <c r="F101" s="1">
        <v>0</v>
      </c>
    </row>
    <row r="102" spans="1:6">
      <c r="A102">
        <v>417</v>
      </c>
      <c r="B102" t="s">
        <v>150</v>
      </c>
      <c r="C102" s="2">
        <v>15</v>
      </c>
      <c r="D102" s="1">
        <v>14.3</v>
      </c>
      <c r="E102" s="1">
        <v>36.389923196227485</v>
      </c>
      <c r="F102" s="1">
        <v>0</v>
      </c>
    </row>
    <row r="103" spans="1:6">
      <c r="A103">
        <v>418</v>
      </c>
      <c r="B103" t="s">
        <v>151</v>
      </c>
      <c r="C103" s="2">
        <v>21</v>
      </c>
      <c r="D103" s="1">
        <v>10.157849743894504</v>
      </c>
      <c r="E103" s="1">
        <v>10.048493910969649</v>
      </c>
      <c r="F103" s="1">
        <v>0</v>
      </c>
    </row>
    <row r="104" spans="1:6">
      <c r="A104">
        <v>422</v>
      </c>
      <c r="B104" t="s">
        <v>152</v>
      </c>
      <c r="C104" s="2">
        <v>17</v>
      </c>
      <c r="D104" s="1">
        <v>10.3</v>
      </c>
      <c r="E104" s="1">
        <v>34.154662999999992</v>
      </c>
      <c r="F104" s="1">
        <v>93.150288666666668</v>
      </c>
    </row>
    <row r="105" spans="1:6">
      <c r="A105">
        <v>426</v>
      </c>
      <c r="B105" t="s">
        <v>153</v>
      </c>
      <c r="C105" s="2">
        <v>26</v>
      </c>
      <c r="D105" s="1">
        <v>1.7766330024131629</v>
      </c>
      <c r="E105" s="1">
        <v>17.925911470310478</v>
      </c>
      <c r="F105" s="1">
        <v>3.1078280430408007</v>
      </c>
    </row>
    <row r="106" spans="1:6">
      <c r="A106">
        <v>428</v>
      </c>
      <c r="B106" t="s">
        <v>154</v>
      </c>
      <c r="C106" s="2">
        <v>12</v>
      </c>
      <c r="D106" s="1">
        <v>4.5</v>
      </c>
      <c r="E106" s="1">
        <v>0</v>
      </c>
      <c r="F106" s="1">
        <v>0</v>
      </c>
    </row>
    <row r="107" spans="1:6">
      <c r="A107">
        <v>430</v>
      </c>
      <c r="B107" t="s">
        <v>155</v>
      </c>
      <c r="C107" s="2">
        <v>8</v>
      </c>
      <c r="D107" s="1">
        <v>1.7947321461083701</v>
      </c>
      <c r="E107" s="1">
        <v>39.243252040944405</v>
      </c>
      <c r="F107" s="1">
        <v>0</v>
      </c>
    </row>
    <row r="108" spans="1:6">
      <c r="A108">
        <v>434</v>
      </c>
      <c r="B108" t="s">
        <v>156</v>
      </c>
      <c r="C108" s="2">
        <v>7</v>
      </c>
      <c r="D108" s="1">
        <v>10.1</v>
      </c>
      <c r="E108" s="1">
        <v>27.82463999999997</v>
      </c>
      <c r="F108" s="1">
        <v>26.746773333333337</v>
      </c>
    </row>
    <row r="109" spans="1:6">
      <c r="A109">
        <v>438</v>
      </c>
      <c r="B109" t="s">
        <v>157</v>
      </c>
      <c r="C109" s="2">
        <v>11</v>
      </c>
      <c r="D109" s="1">
        <v>0</v>
      </c>
      <c r="E109" s="1">
        <v>0</v>
      </c>
      <c r="F109" s="1">
        <v>0</v>
      </c>
    </row>
    <row r="110" spans="1:6">
      <c r="A110">
        <v>440</v>
      </c>
      <c r="B110" t="s">
        <v>158</v>
      </c>
      <c r="C110" s="2">
        <v>12</v>
      </c>
      <c r="D110" s="1">
        <v>15.75</v>
      </c>
      <c r="E110" s="1">
        <v>0</v>
      </c>
      <c r="F110" s="1">
        <v>0</v>
      </c>
    </row>
    <row r="111" spans="1:6">
      <c r="A111">
        <v>442</v>
      </c>
      <c r="B111" t="s">
        <v>159</v>
      </c>
      <c r="C111" s="2">
        <v>11</v>
      </c>
      <c r="D111" s="1">
        <v>4.4000000000000004</v>
      </c>
      <c r="E111" s="1">
        <v>0</v>
      </c>
      <c r="F111" s="1">
        <v>0</v>
      </c>
    </row>
    <row r="112" spans="1:6">
      <c r="A112">
        <v>450</v>
      </c>
      <c r="B112" t="s">
        <v>160</v>
      </c>
      <c r="C112" s="2">
        <v>9</v>
      </c>
      <c r="D112" s="1">
        <v>0.66429869014916998</v>
      </c>
      <c r="E112" s="1">
        <v>41.607009838497255</v>
      </c>
      <c r="F112" s="1">
        <v>0</v>
      </c>
    </row>
    <row r="113" spans="1:6">
      <c r="A113">
        <v>454</v>
      </c>
      <c r="B113" t="s">
        <v>161</v>
      </c>
      <c r="C113" s="2">
        <v>26</v>
      </c>
      <c r="D113" s="1">
        <v>1.7766330024131629</v>
      </c>
      <c r="E113" s="1">
        <v>35.091684233786467</v>
      </c>
      <c r="F113" s="1">
        <v>0</v>
      </c>
    </row>
    <row r="114" spans="1:6">
      <c r="A114">
        <v>458</v>
      </c>
      <c r="B114" t="s">
        <v>162</v>
      </c>
      <c r="C114" s="2">
        <v>21</v>
      </c>
      <c r="D114" s="1">
        <v>63.9</v>
      </c>
      <c r="E114" s="1">
        <v>0</v>
      </c>
      <c r="F114" s="1">
        <v>0</v>
      </c>
    </row>
    <row r="115" spans="1:6">
      <c r="A115">
        <v>466</v>
      </c>
      <c r="B115" t="s">
        <v>163</v>
      </c>
      <c r="C115" s="2">
        <v>8</v>
      </c>
      <c r="D115" s="1">
        <v>0.7</v>
      </c>
      <c r="E115" s="1">
        <v>36.525843110870852</v>
      </c>
      <c r="F115" s="1">
        <v>3.9235446000000316</v>
      </c>
    </row>
    <row r="116" spans="1:6">
      <c r="A116">
        <v>470</v>
      </c>
      <c r="B116" t="s">
        <v>164</v>
      </c>
      <c r="C116" s="2">
        <v>12</v>
      </c>
      <c r="D116" s="1">
        <v>13.5</v>
      </c>
      <c r="E116" s="1">
        <v>0</v>
      </c>
      <c r="F116" s="1">
        <v>0</v>
      </c>
    </row>
    <row r="117" spans="1:6">
      <c r="A117">
        <v>474</v>
      </c>
      <c r="B117" t="s">
        <v>165</v>
      </c>
      <c r="C117" s="2">
        <v>4</v>
      </c>
      <c r="D117" s="1">
        <v>12.953484200371287</v>
      </c>
      <c r="E117" s="1">
        <v>35.224354253321962</v>
      </c>
      <c r="F117" s="1">
        <v>0</v>
      </c>
    </row>
    <row r="118" spans="1:6">
      <c r="A118">
        <v>478</v>
      </c>
      <c r="B118" t="s">
        <v>166</v>
      </c>
      <c r="C118" s="2">
        <v>8</v>
      </c>
      <c r="D118" s="1">
        <v>1.7947321461083701</v>
      </c>
      <c r="E118" s="1">
        <v>20.716556799906336</v>
      </c>
      <c r="F118" s="1">
        <v>14.551142038177877</v>
      </c>
    </row>
    <row r="119" spans="1:6">
      <c r="A119">
        <v>480</v>
      </c>
      <c r="B119" t="s">
        <v>167</v>
      </c>
      <c r="C119" s="2">
        <v>9</v>
      </c>
      <c r="D119" s="1">
        <v>16</v>
      </c>
      <c r="E119" s="1">
        <v>4.6459058495040875</v>
      </c>
      <c r="F119" s="1">
        <v>0</v>
      </c>
    </row>
    <row r="120" spans="1:6">
      <c r="A120">
        <v>484</v>
      </c>
      <c r="B120" t="s">
        <v>168</v>
      </c>
      <c r="C120" s="2">
        <v>3</v>
      </c>
      <c r="D120" s="1">
        <v>2.7517857142857141</v>
      </c>
      <c r="E120" s="1">
        <v>2.6596491228070174</v>
      </c>
      <c r="F120" s="1">
        <v>0</v>
      </c>
    </row>
    <row r="121" spans="1:6">
      <c r="A121">
        <v>496</v>
      </c>
      <c r="B121" t="s">
        <v>169</v>
      </c>
      <c r="C121" s="2">
        <v>20</v>
      </c>
      <c r="D121" s="1">
        <v>3.8</v>
      </c>
      <c r="E121" s="1">
        <v>0</v>
      </c>
      <c r="F121" s="1">
        <v>0</v>
      </c>
    </row>
    <row r="122" spans="1:6">
      <c r="A122">
        <v>498</v>
      </c>
      <c r="B122" t="s">
        <v>170</v>
      </c>
      <c r="C122" s="2">
        <v>14</v>
      </c>
      <c r="D122" s="1">
        <v>0</v>
      </c>
      <c r="E122" s="1">
        <v>2.5923207257237735</v>
      </c>
      <c r="F122" s="1">
        <v>0</v>
      </c>
    </row>
    <row r="123" spans="1:6">
      <c r="A123">
        <v>500</v>
      </c>
      <c r="B123" t="s">
        <v>171</v>
      </c>
      <c r="C123" s="2">
        <v>4</v>
      </c>
      <c r="D123" s="1">
        <v>12.953484200371287</v>
      </c>
      <c r="E123" s="1">
        <v>0</v>
      </c>
      <c r="F123" s="1">
        <v>0</v>
      </c>
    </row>
    <row r="124" spans="1:6">
      <c r="A124">
        <v>504</v>
      </c>
      <c r="B124" t="s">
        <v>172</v>
      </c>
      <c r="C124" s="2">
        <v>7</v>
      </c>
      <c r="D124" s="1">
        <v>19.8</v>
      </c>
      <c r="E124" s="1">
        <v>66.125553263700283</v>
      </c>
      <c r="F124" s="1">
        <v>0</v>
      </c>
    </row>
    <row r="125" spans="1:6">
      <c r="A125">
        <v>508</v>
      </c>
      <c r="B125" t="s">
        <v>173</v>
      </c>
      <c r="C125" s="2">
        <v>26</v>
      </c>
      <c r="D125" s="1">
        <v>1.7766330024131629</v>
      </c>
      <c r="E125" s="1">
        <v>26.594375436093149</v>
      </c>
      <c r="F125" s="1">
        <v>32.238201454784232</v>
      </c>
    </row>
    <row r="126" spans="1:6">
      <c r="A126">
        <v>512</v>
      </c>
      <c r="B126" t="s">
        <v>174</v>
      </c>
      <c r="C126" s="2">
        <v>17</v>
      </c>
      <c r="D126" s="1">
        <v>9.8000000000000007</v>
      </c>
      <c r="E126" s="1">
        <v>0</v>
      </c>
      <c r="F126" s="1">
        <v>0</v>
      </c>
    </row>
    <row r="127" spans="1:6">
      <c r="A127">
        <v>516</v>
      </c>
      <c r="B127" t="s">
        <v>175</v>
      </c>
      <c r="C127" s="2">
        <v>26</v>
      </c>
      <c r="D127" s="1">
        <v>19</v>
      </c>
      <c r="E127" s="1">
        <v>33.406276112092513</v>
      </c>
      <c r="F127" s="1">
        <v>10.234051831510898</v>
      </c>
    </row>
    <row r="128" spans="1:6">
      <c r="A128">
        <v>524</v>
      </c>
      <c r="B128" t="s">
        <v>176</v>
      </c>
      <c r="C128" s="2">
        <v>25</v>
      </c>
      <c r="D128" s="1">
        <v>2.3923092820976208</v>
      </c>
      <c r="E128" s="1">
        <v>35.130556658364874</v>
      </c>
      <c r="F128" s="1">
        <v>0</v>
      </c>
    </row>
    <row r="129" spans="1:6">
      <c r="A129">
        <v>528</v>
      </c>
      <c r="B129" t="s">
        <v>177</v>
      </c>
      <c r="C129" s="2">
        <v>11</v>
      </c>
      <c r="D129" s="1">
        <v>0</v>
      </c>
      <c r="E129" s="1">
        <v>0</v>
      </c>
      <c r="F129" s="1">
        <v>0</v>
      </c>
    </row>
    <row r="130" spans="1:6">
      <c r="A130">
        <v>530</v>
      </c>
      <c r="B130" t="s">
        <v>178</v>
      </c>
      <c r="C130" s="2">
        <v>4</v>
      </c>
      <c r="D130" s="1">
        <v>12.953484200371287</v>
      </c>
      <c r="E130" s="1">
        <v>17.462166197600634</v>
      </c>
      <c r="F130" s="1">
        <v>0</v>
      </c>
    </row>
    <row r="131" spans="1:6">
      <c r="A131">
        <v>533</v>
      </c>
      <c r="B131" t="s">
        <v>179</v>
      </c>
      <c r="C131" s="2">
        <v>4</v>
      </c>
      <c r="D131" s="1">
        <v>12.953484200371287</v>
      </c>
      <c r="E131" s="1">
        <v>0</v>
      </c>
      <c r="F131" s="1">
        <v>0</v>
      </c>
    </row>
    <row r="132" spans="1:6">
      <c r="A132">
        <v>540</v>
      </c>
      <c r="B132" t="s">
        <v>180</v>
      </c>
      <c r="C132" s="2">
        <v>24</v>
      </c>
      <c r="D132" s="1">
        <v>0</v>
      </c>
      <c r="E132" s="1">
        <v>11.102356923776227</v>
      </c>
      <c r="F132" s="1">
        <v>0</v>
      </c>
    </row>
    <row r="133" spans="1:6">
      <c r="A133">
        <v>548</v>
      </c>
      <c r="B133" t="s">
        <v>181</v>
      </c>
      <c r="C133" s="2">
        <v>24</v>
      </c>
      <c r="D133" s="1">
        <v>0</v>
      </c>
      <c r="E133" s="1">
        <v>36.425677726519694</v>
      </c>
      <c r="F133" s="1">
        <v>0</v>
      </c>
    </row>
    <row r="134" spans="1:6">
      <c r="A134">
        <v>554</v>
      </c>
      <c r="B134" t="s">
        <v>182</v>
      </c>
      <c r="C134" s="2">
        <v>24</v>
      </c>
      <c r="D134" s="1">
        <v>10.332000000000001</v>
      </c>
      <c r="E134" s="1">
        <v>0</v>
      </c>
      <c r="F134" s="1">
        <v>0</v>
      </c>
    </row>
    <row r="135" spans="1:6">
      <c r="A135">
        <v>558</v>
      </c>
      <c r="B135" t="s">
        <v>183</v>
      </c>
      <c r="C135" s="2">
        <v>4</v>
      </c>
      <c r="D135" s="1">
        <v>3</v>
      </c>
      <c r="E135" s="1">
        <v>11.828916747082431</v>
      </c>
      <c r="F135" s="1">
        <v>0</v>
      </c>
    </row>
    <row r="136" spans="1:6">
      <c r="A136">
        <v>562</v>
      </c>
      <c r="B136" t="s">
        <v>184</v>
      </c>
      <c r="C136" s="2">
        <v>8</v>
      </c>
      <c r="D136" s="1">
        <v>0.2</v>
      </c>
      <c r="E136" s="1">
        <v>20.376042399067597</v>
      </c>
      <c r="F136" s="1">
        <v>0</v>
      </c>
    </row>
    <row r="137" spans="1:6">
      <c r="A137">
        <v>566</v>
      </c>
      <c r="B137" t="s">
        <v>185</v>
      </c>
      <c r="C137" s="2">
        <v>8</v>
      </c>
      <c r="D137" s="1">
        <v>2.1</v>
      </c>
      <c r="E137" s="1">
        <v>23.541904470488028</v>
      </c>
      <c r="F137" s="1">
        <v>0</v>
      </c>
    </row>
    <row r="138" spans="1:6">
      <c r="A138">
        <v>578</v>
      </c>
      <c r="B138" t="s">
        <v>186</v>
      </c>
      <c r="C138" s="2">
        <v>11</v>
      </c>
      <c r="D138" s="1">
        <v>21.9</v>
      </c>
      <c r="E138" s="1">
        <v>0</v>
      </c>
      <c r="F138" s="1">
        <v>0</v>
      </c>
    </row>
    <row r="139" spans="1:6">
      <c r="A139">
        <v>586</v>
      </c>
      <c r="B139" t="s">
        <v>187</v>
      </c>
      <c r="C139" s="2">
        <v>25</v>
      </c>
      <c r="D139" s="1">
        <v>15</v>
      </c>
      <c r="E139" s="1">
        <v>43.659454576994655</v>
      </c>
      <c r="F139" s="1">
        <v>0</v>
      </c>
    </row>
    <row r="140" spans="1:6">
      <c r="A140">
        <v>591</v>
      </c>
      <c r="B140" t="s">
        <v>188</v>
      </c>
      <c r="C140" s="2">
        <v>4</v>
      </c>
      <c r="D140" s="1">
        <v>15</v>
      </c>
      <c r="E140" s="1">
        <v>0</v>
      </c>
      <c r="F140" s="1">
        <v>0</v>
      </c>
    </row>
    <row r="141" spans="1:6">
      <c r="A141">
        <v>598</v>
      </c>
      <c r="B141" t="s">
        <v>189</v>
      </c>
      <c r="C141" s="2">
        <v>22</v>
      </c>
      <c r="D141" s="1">
        <v>1.9</v>
      </c>
      <c r="E141" s="1">
        <v>28.684365375308062</v>
      </c>
      <c r="F141" s="1">
        <v>0</v>
      </c>
    </row>
    <row r="142" spans="1:6">
      <c r="A142">
        <v>600</v>
      </c>
      <c r="B142" t="s">
        <v>190</v>
      </c>
      <c r="C142" s="2">
        <v>6</v>
      </c>
      <c r="D142" s="1">
        <v>5.0999999999999996</v>
      </c>
      <c r="E142" s="1">
        <v>0</v>
      </c>
      <c r="F142" s="1">
        <v>0</v>
      </c>
    </row>
    <row r="143" spans="1:6">
      <c r="A143">
        <v>604</v>
      </c>
      <c r="B143" t="s">
        <v>191</v>
      </c>
      <c r="C143" s="2">
        <v>6</v>
      </c>
      <c r="D143" s="1">
        <v>25</v>
      </c>
      <c r="E143" s="1">
        <v>59.356258495769794</v>
      </c>
      <c r="F143" s="1">
        <v>0</v>
      </c>
    </row>
    <row r="144" spans="1:6">
      <c r="A144">
        <v>608</v>
      </c>
      <c r="B144" t="s">
        <v>192</v>
      </c>
      <c r="C144" s="2">
        <v>21</v>
      </c>
      <c r="D144" s="1">
        <v>1.6</v>
      </c>
      <c r="E144" s="1">
        <v>0.63711316221576553</v>
      </c>
      <c r="F144" s="1">
        <v>0</v>
      </c>
    </row>
    <row r="145" spans="1:6">
      <c r="A145">
        <v>616</v>
      </c>
      <c r="B145" t="s">
        <v>193</v>
      </c>
      <c r="C145" s="2">
        <v>12</v>
      </c>
      <c r="D145" s="1">
        <v>0.1</v>
      </c>
      <c r="E145" s="1">
        <v>0</v>
      </c>
      <c r="F145" s="1">
        <v>0</v>
      </c>
    </row>
    <row r="146" spans="1:6">
      <c r="A146">
        <v>620</v>
      </c>
      <c r="B146" t="s">
        <v>194</v>
      </c>
      <c r="C146" s="2">
        <v>11</v>
      </c>
      <c r="D146" s="1">
        <v>3.6</v>
      </c>
      <c r="E146" s="1">
        <v>0</v>
      </c>
      <c r="F146" s="1">
        <v>0</v>
      </c>
    </row>
    <row r="147" spans="1:6">
      <c r="A147">
        <v>624</v>
      </c>
      <c r="B147" t="s">
        <v>195</v>
      </c>
      <c r="C147" s="2">
        <v>8</v>
      </c>
      <c r="D147" s="1">
        <v>1.7947321461083701</v>
      </c>
      <c r="E147" s="1">
        <v>28.658653832083861</v>
      </c>
      <c r="F147" s="1">
        <v>43.372428174539756</v>
      </c>
    </row>
    <row r="148" spans="1:6">
      <c r="A148">
        <v>626</v>
      </c>
      <c r="B148" t="s">
        <v>196</v>
      </c>
      <c r="C148" s="2">
        <v>22</v>
      </c>
      <c r="D148" s="1">
        <v>1.9</v>
      </c>
      <c r="E148" s="1">
        <v>0</v>
      </c>
      <c r="F148" s="1">
        <v>0</v>
      </c>
    </row>
    <row r="149" spans="1:6">
      <c r="A149">
        <v>630</v>
      </c>
      <c r="B149" t="s">
        <v>197</v>
      </c>
      <c r="C149" s="2">
        <v>4</v>
      </c>
      <c r="D149" s="1">
        <v>64</v>
      </c>
      <c r="E149" s="1">
        <v>62.159560000000027</v>
      </c>
      <c r="F149" s="1">
        <v>0</v>
      </c>
    </row>
    <row r="150" spans="1:6">
      <c r="A150">
        <v>634</v>
      </c>
      <c r="B150" t="s">
        <v>198</v>
      </c>
      <c r="C150" s="2">
        <v>17</v>
      </c>
      <c r="D150" s="1">
        <v>0</v>
      </c>
      <c r="E150" s="1">
        <v>0</v>
      </c>
      <c r="F150" s="1">
        <v>0</v>
      </c>
    </row>
    <row r="151" spans="1:6">
      <c r="A151">
        <v>638</v>
      </c>
      <c r="B151" t="s">
        <v>199</v>
      </c>
      <c r="C151" s="2">
        <v>9</v>
      </c>
      <c r="D151" s="1">
        <v>0.66429869014916998</v>
      </c>
      <c r="E151" s="1">
        <v>55.872020443505235</v>
      </c>
      <c r="F151" s="1">
        <v>0</v>
      </c>
    </row>
    <row r="152" spans="1:6">
      <c r="A152">
        <v>642</v>
      </c>
      <c r="B152" t="s">
        <v>200</v>
      </c>
      <c r="C152" s="2">
        <v>12</v>
      </c>
      <c r="D152" s="1">
        <v>8.6999999999999993</v>
      </c>
      <c r="E152" s="1">
        <v>0</v>
      </c>
      <c r="F152" s="1">
        <v>0</v>
      </c>
    </row>
    <row r="153" spans="1:6">
      <c r="A153">
        <v>643</v>
      </c>
      <c r="B153" t="s">
        <v>201</v>
      </c>
      <c r="C153" s="2">
        <v>16</v>
      </c>
      <c r="D153" s="1">
        <v>2.4450000000000003</v>
      </c>
      <c r="E153" s="1">
        <v>0</v>
      </c>
      <c r="F153" s="1">
        <v>0</v>
      </c>
    </row>
    <row r="154" spans="1:6">
      <c r="A154">
        <v>646</v>
      </c>
      <c r="B154" t="s">
        <v>202</v>
      </c>
      <c r="C154" s="2">
        <v>9</v>
      </c>
      <c r="D154" s="1">
        <v>0.66429869014916998</v>
      </c>
      <c r="E154" s="1">
        <v>35.682849798021572</v>
      </c>
      <c r="F154" s="1">
        <v>0</v>
      </c>
    </row>
    <row r="155" spans="1:6">
      <c r="A155">
        <v>659</v>
      </c>
      <c r="B155" t="s">
        <v>203</v>
      </c>
      <c r="C155" s="2">
        <v>4</v>
      </c>
      <c r="D155" s="1">
        <v>0</v>
      </c>
      <c r="E155" s="1">
        <v>0</v>
      </c>
      <c r="F155" s="1">
        <v>0</v>
      </c>
    </row>
    <row r="156" spans="1:6">
      <c r="A156">
        <v>660</v>
      </c>
      <c r="B156" t="s">
        <v>204</v>
      </c>
      <c r="C156" s="2">
        <v>4</v>
      </c>
      <c r="D156" s="1">
        <v>3</v>
      </c>
      <c r="E156" s="1">
        <v>0</v>
      </c>
      <c r="F156" s="1">
        <v>0</v>
      </c>
    </row>
    <row r="157" spans="1:6">
      <c r="A157">
        <v>662</v>
      </c>
      <c r="B157" t="s">
        <v>205</v>
      </c>
      <c r="C157" s="2">
        <v>4</v>
      </c>
      <c r="D157" s="1">
        <v>0</v>
      </c>
      <c r="E157" s="1">
        <v>0</v>
      </c>
      <c r="F157" s="1">
        <v>0</v>
      </c>
    </row>
    <row r="158" spans="1:6">
      <c r="A158">
        <v>666</v>
      </c>
      <c r="B158" t="s">
        <v>206</v>
      </c>
      <c r="C158" s="2">
        <v>2</v>
      </c>
      <c r="D158" s="1">
        <v>0</v>
      </c>
      <c r="E158" s="1">
        <v>15.111205870556756</v>
      </c>
      <c r="F158" s="1">
        <v>0</v>
      </c>
    </row>
    <row r="159" spans="1:6">
      <c r="A159">
        <v>670</v>
      </c>
      <c r="B159" t="s">
        <v>207</v>
      </c>
      <c r="C159" s="2">
        <v>4</v>
      </c>
      <c r="D159" s="1">
        <v>0</v>
      </c>
      <c r="E159" s="1">
        <v>0</v>
      </c>
      <c r="F159" s="1">
        <v>0</v>
      </c>
    </row>
    <row r="160" spans="1:6">
      <c r="A160">
        <v>678</v>
      </c>
      <c r="B160" t="s">
        <v>208</v>
      </c>
      <c r="C160" s="2">
        <v>8</v>
      </c>
      <c r="D160" s="1">
        <v>0</v>
      </c>
      <c r="E160" s="1">
        <v>37.545156999999996</v>
      </c>
      <c r="F160" s="1">
        <v>48.667658391723634</v>
      </c>
    </row>
    <row r="161" spans="1:6">
      <c r="A161">
        <v>682</v>
      </c>
      <c r="B161" t="s">
        <v>209</v>
      </c>
      <c r="C161" s="2">
        <v>17</v>
      </c>
      <c r="D161" s="1">
        <v>0</v>
      </c>
      <c r="E161" s="1">
        <v>0</v>
      </c>
      <c r="F161" s="1">
        <v>0</v>
      </c>
    </row>
    <row r="162" spans="1:6">
      <c r="A162">
        <v>686</v>
      </c>
      <c r="B162" t="s">
        <v>210</v>
      </c>
      <c r="C162" s="2">
        <v>8</v>
      </c>
      <c r="D162" s="1">
        <v>2.2000000000000002</v>
      </c>
      <c r="E162" s="1">
        <v>34.928972569695176</v>
      </c>
      <c r="F162" s="1">
        <v>4.7445323929123226</v>
      </c>
    </row>
    <row r="163" spans="1:6">
      <c r="A163">
        <v>694</v>
      </c>
      <c r="B163" t="s">
        <v>211</v>
      </c>
      <c r="C163" s="2">
        <v>8</v>
      </c>
      <c r="D163" s="1">
        <v>0.1</v>
      </c>
      <c r="E163" s="1">
        <v>21.699572506752496</v>
      </c>
      <c r="F163" s="1">
        <v>48.771215227955977</v>
      </c>
    </row>
    <row r="164" spans="1:6">
      <c r="A164">
        <v>702</v>
      </c>
      <c r="B164" t="s">
        <v>212</v>
      </c>
      <c r="C164" s="2">
        <v>21</v>
      </c>
      <c r="D164" s="1">
        <v>0</v>
      </c>
      <c r="E164" s="1">
        <v>0</v>
      </c>
      <c r="F164" s="1">
        <v>0</v>
      </c>
    </row>
    <row r="165" spans="1:6">
      <c r="A165">
        <v>703</v>
      </c>
      <c r="B165" t="s">
        <v>213</v>
      </c>
      <c r="C165" s="2">
        <v>12</v>
      </c>
      <c r="D165" s="1">
        <v>30</v>
      </c>
      <c r="E165" s="1">
        <v>0</v>
      </c>
      <c r="F165" s="1">
        <v>0</v>
      </c>
    </row>
    <row r="166" spans="1:6">
      <c r="A166">
        <v>704</v>
      </c>
      <c r="B166" t="s">
        <v>214</v>
      </c>
      <c r="C166" s="2">
        <v>21</v>
      </c>
      <c r="D166" s="1">
        <v>1.1999999999999997</v>
      </c>
      <c r="E166" s="1">
        <v>4.6670971231954361</v>
      </c>
      <c r="F166" s="1">
        <v>0</v>
      </c>
    </row>
    <row r="167" spans="1:6">
      <c r="A167">
        <v>705</v>
      </c>
      <c r="B167" t="s">
        <v>215</v>
      </c>
      <c r="C167" s="2">
        <v>12</v>
      </c>
      <c r="D167" s="1">
        <v>0.4</v>
      </c>
      <c r="E167" s="1">
        <v>0</v>
      </c>
      <c r="F167" s="1">
        <v>0</v>
      </c>
    </row>
    <row r="168" spans="1:6">
      <c r="A168">
        <v>706</v>
      </c>
      <c r="B168" t="s">
        <v>216</v>
      </c>
      <c r="C168" s="2">
        <v>9</v>
      </c>
      <c r="D168" s="1">
        <v>0.66429869014916998</v>
      </c>
      <c r="E168" s="1">
        <v>4.4818218046098295</v>
      </c>
      <c r="F168" s="1">
        <v>85.291846765130046</v>
      </c>
    </row>
    <row r="169" spans="1:6">
      <c r="A169">
        <v>710</v>
      </c>
      <c r="B169" t="s">
        <v>217</v>
      </c>
      <c r="C169" s="2">
        <v>10</v>
      </c>
      <c r="D169" s="1">
        <v>26.55</v>
      </c>
      <c r="E169" s="1">
        <v>11.210660600075233</v>
      </c>
      <c r="F169" s="1">
        <v>0</v>
      </c>
    </row>
    <row r="170" spans="1:6">
      <c r="A170">
        <v>716</v>
      </c>
      <c r="B170" t="s">
        <v>218</v>
      </c>
      <c r="C170" s="2">
        <v>26</v>
      </c>
      <c r="D170" s="1">
        <v>5.3</v>
      </c>
      <c r="E170" s="1">
        <v>55.485735999999989</v>
      </c>
      <c r="F170" s="1">
        <v>0</v>
      </c>
    </row>
    <row r="171" spans="1:6">
      <c r="A171">
        <v>724</v>
      </c>
      <c r="B171" t="s">
        <v>219</v>
      </c>
      <c r="C171" s="2">
        <v>11</v>
      </c>
      <c r="D171" s="1">
        <v>3</v>
      </c>
      <c r="E171" s="1">
        <v>0</v>
      </c>
      <c r="F171" s="1">
        <v>0</v>
      </c>
    </row>
    <row r="172" spans="1:6">
      <c r="A172">
        <v>732</v>
      </c>
      <c r="B172" t="s">
        <v>220</v>
      </c>
      <c r="C172" s="2">
        <v>7</v>
      </c>
      <c r="D172" s="1">
        <v>0</v>
      </c>
      <c r="E172" s="1">
        <v>3.5527136788005009E-14</v>
      </c>
      <c r="F172" s="1">
        <v>0</v>
      </c>
    </row>
    <row r="173" spans="1:6">
      <c r="A173">
        <v>736</v>
      </c>
      <c r="B173" t="s">
        <v>221</v>
      </c>
      <c r="C173" s="2">
        <v>9</v>
      </c>
      <c r="D173" s="1">
        <v>0.66429869014916998</v>
      </c>
      <c r="E173" s="1">
        <v>15.751077748484764</v>
      </c>
      <c r="F173" s="1">
        <v>0</v>
      </c>
    </row>
    <row r="174" spans="1:6">
      <c r="A174">
        <v>740</v>
      </c>
      <c r="B174" t="s">
        <v>222</v>
      </c>
      <c r="C174" s="2">
        <v>6</v>
      </c>
      <c r="D174" s="1">
        <v>0</v>
      </c>
      <c r="E174" s="1">
        <v>0</v>
      </c>
      <c r="F174" s="1">
        <v>0</v>
      </c>
    </row>
    <row r="175" spans="1:6">
      <c r="A175">
        <v>748</v>
      </c>
      <c r="B175" t="s">
        <v>223</v>
      </c>
      <c r="C175" s="2">
        <v>26</v>
      </c>
      <c r="D175" s="1">
        <v>1.7766330024131629</v>
      </c>
      <c r="E175" s="1">
        <v>5.9991043556735413</v>
      </c>
      <c r="F175" s="1">
        <v>0</v>
      </c>
    </row>
    <row r="176" spans="1:6">
      <c r="A176">
        <v>752</v>
      </c>
      <c r="B176" t="s">
        <v>224</v>
      </c>
      <c r="C176" s="2">
        <v>11</v>
      </c>
      <c r="D176" s="1">
        <v>0</v>
      </c>
      <c r="E176" s="1">
        <v>0</v>
      </c>
      <c r="F176" s="1">
        <v>0</v>
      </c>
    </row>
    <row r="177" spans="1:6">
      <c r="A177">
        <v>756</v>
      </c>
      <c r="B177" t="s">
        <v>225</v>
      </c>
      <c r="C177" s="2">
        <v>11</v>
      </c>
      <c r="D177" s="1">
        <v>0</v>
      </c>
      <c r="E177" s="1">
        <v>0</v>
      </c>
      <c r="F177" s="1">
        <v>0</v>
      </c>
    </row>
    <row r="178" spans="1:6">
      <c r="A178">
        <v>760</v>
      </c>
      <c r="B178" t="s">
        <v>226</v>
      </c>
      <c r="C178" s="2">
        <v>17</v>
      </c>
      <c r="D178" s="1">
        <v>31.412757446361503</v>
      </c>
      <c r="E178" s="1">
        <v>46.47001827168463</v>
      </c>
      <c r="F178" s="1">
        <v>79.306527909438444</v>
      </c>
    </row>
    <row r="179" spans="1:6">
      <c r="A179">
        <v>762</v>
      </c>
      <c r="B179" t="s">
        <v>227</v>
      </c>
      <c r="C179" s="2">
        <v>15</v>
      </c>
      <c r="D179" s="1">
        <v>14.100000000000001</v>
      </c>
      <c r="E179" s="1">
        <v>27.07941982466668</v>
      </c>
      <c r="F179" s="1">
        <v>0</v>
      </c>
    </row>
    <row r="180" spans="1:6">
      <c r="A180">
        <v>764</v>
      </c>
      <c r="B180" t="s">
        <v>228</v>
      </c>
      <c r="C180" s="2">
        <v>21</v>
      </c>
      <c r="D180" s="1">
        <v>5.8058058058058064</v>
      </c>
      <c r="E180" s="1">
        <v>0</v>
      </c>
      <c r="F180" s="1">
        <v>0</v>
      </c>
    </row>
    <row r="181" spans="1:6">
      <c r="A181">
        <v>768</v>
      </c>
      <c r="B181" t="s">
        <v>229</v>
      </c>
      <c r="C181" s="2">
        <v>8</v>
      </c>
      <c r="D181" s="1">
        <v>1.7947321461083701</v>
      </c>
      <c r="E181" s="1">
        <v>19.180680520928171</v>
      </c>
      <c r="F181" s="1">
        <v>43.466317746498433</v>
      </c>
    </row>
    <row r="182" spans="1:6">
      <c r="A182">
        <v>776</v>
      </c>
      <c r="B182" t="s">
        <v>230</v>
      </c>
      <c r="C182" s="2">
        <v>24</v>
      </c>
      <c r="D182" s="1">
        <v>0</v>
      </c>
      <c r="E182" s="1">
        <v>3.9694202598898465</v>
      </c>
      <c r="F182" s="1">
        <v>0</v>
      </c>
    </row>
    <row r="183" spans="1:6">
      <c r="A183">
        <v>780</v>
      </c>
      <c r="B183" t="s">
        <v>231</v>
      </c>
      <c r="C183" s="2">
        <v>4</v>
      </c>
      <c r="D183" s="1">
        <v>5</v>
      </c>
      <c r="E183" s="1">
        <v>0.26901617181140658</v>
      </c>
      <c r="F183" s="1">
        <v>0</v>
      </c>
    </row>
    <row r="184" spans="1:6">
      <c r="A184">
        <v>784</v>
      </c>
      <c r="B184" t="s">
        <v>232</v>
      </c>
      <c r="C184" s="2">
        <v>17</v>
      </c>
      <c r="D184" s="1">
        <v>0</v>
      </c>
      <c r="E184" s="1">
        <v>0</v>
      </c>
      <c r="F184" s="1">
        <v>0</v>
      </c>
    </row>
    <row r="185" spans="1:6">
      <c r="A185">
        <v>788</v>
      </c>
      <c r="B185" t="s">
        <v>233</v>
      </c>
      <c r="C185" s="2">
        <v>7</v>
      </c>
      <c r="D185" s="1">
        <v>0</v>
      </c>
      <c r="E185" s="1">
        <v>0</v>
      </c>
      <c r="F185" s="1">
        <v>0</v>
      </c>
    </row>
    <row r="186" spans="1:6">
      <c r="A186">
        <v>792</v>
      </c>
      <c r="B186" t="s">
        <v>234</v>
      </c>
      <c r="C186" s="2">
        <v>13</v>
      </c>
      <c r="D186" s="1">
        <v>14.5</v>
      </c>
      <c r="E186" s="1">
        <v>0</v>
      </c>
      <c r="F186" s="1">
        <v>0</v>
      </c>
    </row>
    <row r="187" spans="1:6">
      <c r="A187">
        <v>795</v>
      </c>
      <c r="B187" t="s">
        <v>235</v>
      </c>
      <c r="C187" s="2">
        <v>15</v>
      </c>
      <c r="D187" s="1">
        <v>0</v>
      </c>
      <c r="E187" s="1">
        <v>0</v>
      </c>
      <c r="F187" s="1">
        <v>0</v>
      </c>
    </row>
    <row r="188" spans="1:6">
      <c r="A188">
        <v>796</v>
      </c>
      <c r="B188" t="s">
        <v>236</v>
      </c>
      <c r="C188" s="2">
        <v>4</v>
      </c>
      <c r="D188" s="1">
        <v>9.1999999999999993</v>
      </c>
      <c r="E188" s="1">
        <v>0</v>
      </c>
      <c r="F188" s="1">
        <v>0</v>
      </c>
    </row>
    <row r="189" spans="1:6">
      <c r="A189">
        <v>800</v>
      </c>
      <c r="B189" t="s">
        <v>237</v>
      </c>
      <c r="C189" s="2">
        <v>9</v>
      </c>
      <c r="D189" s="1">
        <v>0.1</v>
      </c>
      <c r="E189" s="1">
        <v>38.403998483695702</v>
      </c>
      <c r="F189" s="1">
        <v>0</v>
      </c>
    </row>
    <row r="190" spans="1:6">
      <c r="A190">
        <v>804</v>
      </c>
      <c r="B190" t="s">
        <v>238</v>
      </c>
      <c r="C190" s="2">
        <v>14</v>
      </c>
      <c r="D190" s="1">
        <v>2.6511066398390342</v>
      </c>
      <c r="E190" s="1">
        <v>1.7965573770491803</v>
      </c>
      <c r="F190" s="1">
        <v>0</v>
      </c>
    </row>
    <row r="191" spans="1:6">
      <c r="A191">
        <v>807</v>
      </c>
      <c r="B191" t="s">
        <v>239</v>
      </c>
      <c r="C191" s="2">
        <v>12</v>
      </c>
      <c r="D191" s="1">
        <v>7</v>
      </c>
      <c r="E191" s="1">
        <v>18.074856034185679</v>
      </c>
      <c r="F191" s="1">
        <v>0</v>
      </c>
    </row>
    <row r="192" spans="1:6">
      <c r="A192">
        <v>818</v>
      </c>
      <c r="B192" t="s">
        <v>240</v>
      </c>
      <c r="C192" s="2">
        <v>7</v>
      </c>
      <c r="D192" s="1">
        <v>18.899999999999999</v>
      </c>
      <c r="E192" s="1">
        <v>3.5953300000000166</v>
      </c>
      <c r="F192" s="1">
        <v>0</v>
      </c>
    </row>
    <row r="193" spans="1:6">
      <c r="A193">
        <v>826</v>
      </c>
      <c r="B193" t="s">
        <v>241</v>
      </c>
      <c r="C193" s="2">
        <v>11</v>
      </c>
      <c r="D193" s="1">
        <v>0</v>
      </c>
      <c r="E193" s="1">
        <v>0</v>
      </c>
      <c r="F193" s="1">
        <v>0</v>
      </c>
    </row>
    <row r="194" spans="1:6">
      <c r="A194">
        <v>834</v>
      </c>
      <c r="B194" t="s">
        <v>242</v>
      </c>
      <c r="C194" s="2">
        <v>26</v>
      </c>
      <c r="D194" s="1">
        <v>0.7</v>
      </c>
      <c r="E194" s="1">
        <v>26.505935854181658</v>
      </c>
      <c r="F194" s="1">
        <v>0</v>
      </c>
    </row>
    <row r="195" spans="1:6">
      <c r="A195">
        <v>840</v>
      </c>
      <c r="B195" t="s">
        <v>243</v>
      </c>
      <c r="C195" s="2">
        <v>2</v>
      </c>
      <c r="D195" s="1">
        <v>1.2015</v>
      </c>
      <c r="E195" s="1">
        <v>0</v>
      </c>
      <c r="F195" s="1">
        <v>0</v>
      </c>
    </row>
    <row r="196" spans="1:6">
      <c r="A196">
        <v>850</v>
      </c>
      <c r="B196" t="s">
        <v>244</v>
      </c>
      <c r="C196" s="2">
        <v>4</v>
      </c>
      <c r="D196" s="1">
        <v>12.953484200371287</v>
      </c>
      <c r="E196" s="1">
        <v>30.105478998608202</v>
      </c>
      <c r="F196" s="1">
        <v>0</v>
      </c>
    </row>
    <row r="197" spans="1:6">
      <c r="A197">
        <v>854</v>
      </c>
      <c r="B197" t="s">
        <v>245</v>
      </c>
      <c r="C197" s="2">
        <v>8</v>
      </c>
      <c r="D197" s="1">
        <v>1.7947321461083701</v>
      </c>
      <c r="E197" s="1">
        <v>29.645389765305932</v>
      </c>
      <c r="F197" s="1">
        <v>25.715974489305388</v>
      </c>
    </row>
    <row r="198" spans="1:6">
      <c r="A198">
        <v>858</v>
      </c>
      <c r="B198" t="s">
        <v>246</v>
      </c>
      <c r="C198" s="2">
        <v>6</v>
      </c>
      <c r="D198" s="1">
        <v>3.1946639149416316</v>
      </c>
      <c r="E198" s="1">
        <v>3.8393539624297515</v>
      </c>
      <c r="F198" s="1">
        <v>0</v>
      </c>
    </row>
    <row r="199" spans="1:6">
      <c r="A199">
        <v>860</v>
      </c>
      <c r="B199" t="s">
        <v>247</v>
      </c>
      <c r="C199" s="2">
        <v>15</v>
      </c>
      <c r="D199" s="1">
        <v>22.922922922922922</v>
      </c>
      <c r="E199" s="1">
        <v>8.1843049618607697</v>
      </c>
      <c r="F199" s="1">
        <v>0</v>
      </c>
    </row>
    <row r="200" spans="1:6">
      <c r="A200">
        <v>862</v>
      </c>
      <c r="B200" t="s">
        <v>248</v>
      </c>
      <c r="C200" s="2">
        <v>6</v>
      </c>
      <c r="D200" s="1">
        <v>18.498192664080054</v>
      </c>
      <c r="E200" s="1">
        <v>56.442221814942606</v>
      </c>
      <c r="F200" s="1">
        <v>0</v>
      </c>
    </row>
    <row r="201" spans="1:6">
      <c r="A201">
        <v>882</v>
      </c>
      <c r="B201" t="s">
        <v>249</v>
      </c>
      <c r="C201" s="2">
        <v>24</v>
      </c>
      <c r="D201" s="1">
        <v>0.1</v>
      </c>
      <c r="E201" s="1">
        <v>4.9776627645237266</v>
      </c>
      <c r="F201" s="1">
        <v>0</v>
      </c>
    </row>
    <row r="202" spans="1:6">
      <c r="A202">
        <v>887</v>
      </c>
      <c r="B202" t="s">
        <v>250</v>
      </c>
      <c r="C202" s="2">
        <v>17</v>
      </c>
      <c r="D202" s="1">
        <v>14.3</v>
      </c>
      <c r="E202" s="1">
        <v>44.643652000000003</v>
      </c>
      <c r="F202" s="1">
        <v>29.267081333333362</v>
      </c>
    </row>
    <row r="203" spans="1:6">
      <c r="A203">
        <v>891</v>
      </c>
      <c r="B203" t="s">
        <v>251</v>
      </c>
      <c r="C203" s="2">
        <v>12</v>
      </c>
      <c r="D203" s="1">
        <v>0.7</v>
      </c>
      <c r="E203" s="1">
        <v>1.2900000000000178</v>
      </c>
      <c r="F203" s="1">
        <v>0</v>
      </c>
    </row>
    <row r="204" spans="1:6">
      <c r="A204">
        <v>894</v>
      </c>
      <c r="B204" t="s">
        <v>252</v>
      </c>
      <c r="C204" s="2">
        <v>26</v>
      </c>
      <c r="D204" s="1">
        <v>1.7766330024131629</v>
      </c>
      <c r="E204" s="1">
        <v>27.965179413422408</v>
      </c>
      <c r="F204" s="1">
        <v>0</v>
      </c>
    </row>
  </sheetData>
  <pageMargins left="0.7" right="0.7" top="0.75" bottom="0.75" header="0.3" footer="0.3"/>
  <customProperties>
    <customPr name="EpmWorksheetKeyString_GUID" r:id="rId1"/>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A0198-0DD9-471A-9802-F7F4BBECE90D}">
  <dimension ref="A1:T204"/>
  <sheetViews>
    <sheetView workbookViewId="0"/>
  </sheetViews>
  <sheetFormatPr defaultRowHeight="15"/>
  <sheetData>
    <row r="1" spans="1:20">
      <c r="A1" t="s">
        <v>44</v>
      </c>
      <c r="B1" t="s">
        <v>265</v>
      </c>
      <c r="C1" t="s">
        <v>46</v>
      </c>
    </row>
    <row r="2" spans="1:20">
      <c r="A2" t="s">
        <v>44</v>
      </c>
      <c r="B2" t="s">
        <v>31</v>
      </c>
    </row>
    <row r="3" spans="1:20">
      <c r="A3" t="s">
        <v>44</v>
      </c>
      <c r="D3" t="s">
        <v>269</v>
      </c>
      <c r="E3" t="s">
        <v>270</v>
      </c>
      <c r="F3" t="s">
        <v>271</v>
      </c>
    </row>
    <row r="4" spans="1:20">
      <c r="A4" t="s">
        <v>50</v>
      </c>
      <c r="B4" t="s">
        <v>51</v>
      </c>
      <c r="C4" t="s">
        <v>52</v>
      </c>
      <c r="D4">
        <v>2010</v>
      </c>
      <c r="E4">
        <v>2050</v>
      </c>
      <c r="F4">
        <v>2100</v>
      </c>
    </row>
    <row r="5" spans="1:20">
      <c r="A5">
        <v>4</v>
      </c>
      <c r="B5" t="s">
        <v>53</v>
      </c>
      <c r="C5" s="2">
        <v>25</v>
      </c>
      <c r="D5" s="1">
        <v>0</v>
      </c>
      <c r="E5" s="1">
        <v>1.2295928524713213</v>
      </c>
      <c r="F5" s="1">
        <v>34.363503958975244</v>
      </c>
      <c r="H5" s="1"/>
      <c r="I5" s="1"/>
      <c r="J5" s="1"/>
      <c r="K5" s="1"/>
      <c r="L5" s="1"/>
      <c r="M5" s="1"/>
      <c r="N5" s="1"/>
      <c r="O5" s="1"/>
      <c r="P5" s="1"/>
      <c r="Q5" s="1"/>
      <c r="R5" s="1"/>
      <c r="S5" s="1"/>
      <c r="T5" s="1"/>
    </row>
    <row r="6" spans="1:20">
      <c r="A6">
        <v>8</v>
      </c>
      <c r="B6" t="s">
        <v>54</v>
      </c>
      <c r="C6" s="2">
        <v>12</v>
      </c>
      <c r="D6" s="1">
        <v>9</v>
      </c>
      <c r="E6" s="1">
        <v>31.29969766666667</v>
      </c>
      <c r="F6" s="1">
        <v>69.952043777777817</v>
      </c>
    </row>
    <row r="7" spans="1:20">
      <c r="A7">
        <v>12</v>
      </c>
      <c r="B7" t="s">
        <v>55</v>
      </c>
      <c r="C7" s="2">
        <v>7</v>
      </c>
      <c r="D7" s="1">
        <v>0</v>
      </c>
      <c r="E7" s="1">
        <v>0.10815066666666576</v>
      </c>
      <c r="F7" s="1">
        <v>89.917639555555596</v>
      </c>
    </row>
    <row r="8" spans="1:20">
      <c r="A8">
        <v>16</v>
      </c>
      <c r="B8" t="s">
        <v>56</v>
      </c>
      <c r="C8" s="2">
        <v>24</v>
      </c>
      <c r="D8" s="1">
        <v>65.573984821975699</v>
      </c>
      <c r="E8" s="1">
        <v>59.497476487700595</v>
      </c>
      <c r="F8" s="1">
        <v>0</v>
      </c>
    </row>
    <row r="9" spans="1:20">
      <c r="A9">
        <v>20</v>
      </c>
      <c r="B9" t="s">
        <v>57</v>
      </c>
      <c r="C9" s="2">
        <v>11</v>
      </c>
      <c r="D9" s="1">
        <v>86.5</v>
      </c>
      <c r="E9" s="1">
        <v>42.283962119682911</v>
      </c>
      <c r="F9" s="1">
        <v>1.8158314358313676E-14</v>
      </c>
    </row>
    <row r="10" spans="1:20">
      <c r="A10">
        <v>24</v>
      </c>
      <c r="B10" t="s">
        <v>58</v>
      </c>
      <c r="C10" s="2">
        <v>26</v>
      </c>
      <c r="D10" s="1">
        <v>0</v>
      </c>
      <c r="E10" s="1">
        <v>0</v>
      </c>
      <c r="F10" s="1">
        <v>49.603169501056108</v>
      </c>
    </row>
    <row r="11" spans="1:20">
      <c r="A11">
        <v>31</v>
      </c>
      <c r="B11" t="s">
        <v>59</v>
      </c>
      <c r="C11" s="2">
        <v>16</v>
      </c>
      <c r="D11" s="1">
        <v>0</v>
      </c>
      <c r="E11" s="1">
        <v>16.557864516179894</v>
      </c>
      <c r="F11" s="1">
        <v>44.632595485226062</v>
      </c>
    </row>
    <row r="12" spans="1:20">
      <c r="A12">
        <v>32</v>
      </c>
      <c r="B12" t="s">
        <v>60</v>
      </c>
      <c r="C12" s="2">
        <v>6</v>
      </c>
      <c r="D12" s="1">
        <v>0</v>
      </c>
      <c r="E12" s="1">
        <v>34.219005895863319</v>
      </c>
      <c r="F12" s="1">
        <v>58.791945613535688</v>
      </c>
    </row>
    <row r="13" spans="1:20">
      <c r="A13">
        <v>36</v>
      </c>
      <c r="B13" t="s">
        <v>61</v>
      </c>
      <c r="C13" s="2">
        <v>24</v>
      </c>
      <c r="D13" s="1">
        <v>10.2555</v>
      </c>
      <c r="E13" s="1">
        <v>11.007999999999999</v>
      </c>
      <c r="F13" s="1">
        <v>6.8750560799912819E-14</v>
      </c>
    </row>
    <row r="14" spans="1:20">
      <c r="A14">
        <v>40</v>
      </c>
      <c r="B14" t="s">
        <v>62</v>
      </c>
      <c r="C14" s="2">
        <v>11</v>
      </c>
      <c r="D14" s="1">
        <v>1.3</v>
      </c>
      <c r="E14" s="1">
        <v>1.7763568394002505E-14</v>
      </c>
      <c r="F14" s="1">
        <v>8.1157303100098943E-14</v>
      </c>
    </row>
    <row r="15" spans="1:20">
      <c r="A15">
        <v>44</v>
      </c>
      <c r="B15" t="s">
        <v>63</v>
      </c>
      <c r="C15" s="2">
        <v>4</v>
      </c>
      <c r="D15" s="1">
        <v>0</v>
      </c>
      <c r="E15" s="1">
        <v>19.376190275265614</v>
      </c>
      <c r="F15" s="1">
        <v>2.3536728122053319E-14</v>
      </c>
    </row>
    <row r="16" spans="1:20">
      <c r="A16">
        <v>48</v>
      </c>
      <c r="B16" t="s">
        <v>64</v>
      </c>
      <c r="C16" s="2">
        <v>17</v>
      </c>
      <c r="D16" s="1">
        <v>0</v>
      </c>
      <c r="E16" s="1">
        <v>2.7533531010703882E-14</v>
      </c>
      <c r="F16" s="1">
        <v>2.7533531010703882E-14</v>
      </c>
    </row>
    <row r="17" spans="1:6">
      <c r="A17">
        <v>50</v>
      </c>
      <c r="B17" t="s">
        <v>65</v>
      </c>
      <c r="C17" s="2">
        <v>25</v>
      </c>
      <c r="D17" s="1">
        <v>0</v>
      </c>
      <c r="E17" s="1">
        <v>10.888787668507657</v>
      </c>
      <c r="F17" s="1">
        <v>70.132491619940836</v>
      </c>
    </row>
    <row r="18" spans="1:6">
      <c r="A18">
        <v>51</v>
      </c>
      <c r="B18" t="s">
        <v>66</v>
      </c>
      <c r="C18" s="2">
        <v>16</v>
      </c>
      <c r="D18" s="1">
        <v>0</v>
      </c>
      <c r="E18" s="1">
        <v>10.953918558426587</v>
      </c>
      <c r="F18" s="1">
        <v>55.920193666666613</v>
      </c>
    </row>
    <row r="19" spans="1:6">
      <c r="A19">
        <v>52</v>
      </c>
      <c r="B19" t="s">
        <v>67</v>
      </c>
      <c r="C19" s="2">
        <v>4</v>
      </c>
      <c r="D19" s="1">
        <v>0</v>
      </c>
      <c r="E19" s="1">
        <v>2.3723998778350799</v>
      </c>
      <c r="F19" s="1">
        <v>9.3258734068513149E-15</v>
      </c>
    </row>
    <row r="20" spans="1:6">
      <c r="A20">
        <v>56</v>
      </c>
      <c r="B20" t="s">
        <v>68</v>
      </c>
      <c r="C20" s="2">
        <v>11</v>
      </c>
      <c r="D20" s="1">
        <v>8.6</v>
      </c>
      <c r="E20" s="1">
        <v>1.4210854715202004E-14</v>
      </c>
      <c r="F20" s="1">
        <v>2.3744894939170536E-14</v>
      </c>
    </row>
    <row r="21" spans="1:6">
      <c r="A21">
        <v>64</v>
      </c>
      <c r="B21" t="s">
        <v>69</v>
      </c>
      <c r="C21" s="2">
        <v>25</v>
      </c>
      <c r="D21" s="1">
        <v>0</v>
      </c>
      <c r="E21" s="1">
        <v>33.08790854403771</v>
      </c>
      <c r="F21" s="1">
        <v>0</v>
      </c>
    </row>
    <row r="22" spans="1:6">
      <c r="A22">
        <v>68</v>
      </c>
      <c r="B22" t="s">
        <v>70</v>
      </c>
      <c r="C22" s="2">
        <v>6</v>
      </c>
      <c r="D22" s="1">
        <v>0</v>
      </c>
      <c r="E22" s="1">
        <v>23.007054237882411</v>
      </c>
      <c r="F22" s="1">
        <v>15.775864444444473</v>
      </c>
    </row>
    <row r="23" spans="1:6">
      <c r="A23">
        <v>70</v>
      </c>
      <c r="B23" t="s">
        <v>71</v>
      </c>
      <c r="C23" s="2">
        <v>12</v>
      </c>
      <c r="D23" s="1">
        <v>2.29</v>
      </c>
      <c r="E23" s="1">
        <v>52.518734934977275</v>
      </c>
      <c r="F23" s="1">
        <v>66.776207555555573</v>
      </c>
    </row>
    <row r="24" spans="1:6">
      <c r="A24">
        <v>72</v>
      </c>
      <c r="B24" t="s">
        <v>72</v>
      </c>
      <c r="C24" s="2">
        <v>26</v>
      </c>
      <c r="D24" s="1">
        <v>0</v>
      </c>
      <c r="E24" s="1">
        <v>0.9569568807060671</v>
      </c>
      <c r="F24" s="1">
        <v>2.1490938765507934</v>
      </c>
    </row>
    <row r="25" spans="1:6">
      <c r="A25">
        <v>76</v>
      </c>
      <c r="B25" t="s">
        <v>73</v>
      </c>
      <c r="C25" s="2">
        <v>5</v>
      </c>
      <c r="D25" s="1">
        <v>11.618300000000001</v>
      </c>
      <c r="E25" s="1">
        <v>41.429044999999988</v>
      </c>
      <c r="F25" s="1">
        <v>77.058106666666703</v>
      </c>
    </row>
    <row r="26" spans="1:6">
      <c r="A26">
        <v>84</v>
      </c>
      <c r="B26" t="s">
        <v>74</v>
      </c>
      <c r="C26" s="2">
        <v>4</v>
      </c>
      <c r="D26" s="1">
        <v>0</v>
      </c>
      <c r="E26" s="1">
        <v>28.052401402574727</v>
      </c>
      <c r="F26" s="1">
        <v>2.2204460492503131E-14</v>
      </c>
    </row>
    <row r="27" spans="1:6">
      <c r="A27">
        <v>90</v>
      </c>
      <c r="B27" t="s">
        <v>75</v>
      </c>
      <c r="C27" s="2">
        <v>24</v>
      </c>
      <c r="D27" s="1">
        <v>0</v>
      </c>
      <c r="E27" s="1">
        <v>0</v>
      </c>
      <c r="F27" s="1">
        <v>73.666273999999945</v>
      </c>
    </row>
    <row r="28" spans="1:6">
      <c r="A28">
        <v>96</v>
      </c>
      <c r="B28" t="s">
        <v>76</v>
      </c>
      <c r="C28" s="2">
        <v>21</v>
      </c>
      <c r="D28" s="1">
        <v>40</v>
      </c>
      <c r="E28" s="1">
        <v>62.648346666666683</v>
      </c>
      <c r="F28" s="1">
        <v>3.1974423109204508E-14</v>
      </c>
    </row>
    <row r="29" spans="1:6">
      <c r="A29">
        <v>100</v>
      </c>
      <c r="B29" t="s">
        <v>77</v>
      </c>
      <c r="C29" s="2">
        <v>12</v>
      </c>
      <c r="D29" s="1">
        <v>18.3</v>
      </c>
      <c r="E29" s="1">
        <v>9.5483088888888865</v>
      </c>
      <c r="F29" s="1">
        <v>7.7271522513910895E-14</v>
      </c>
    </row>
    <row r="30" spans="1:6">
      <c r="A30">
        <v>104</v>
      </c>
      <c r="B30" t="s">
        <v>78</v>
      </c>
      <c r="C30" s="2">
        <v>21</v>
      </c>
      <c r="D30" s="1">
        <v>0</v>
      </c>
      <c r="E30" s="1">
        <v>16.050826362285903</v>
      </c>
      <c r="F30" s="1">
        <v>42.245070199553709</v>
      </c>
    </row>
    <row r="31" spans="1:6">
      <c r="A31">
        <v>108</v>
      </c>
      <c r="B31" t="s">
        <v>79</v>
      </c>
      <c r="C31" s="2">
        <v>9</v>
      </c>
      <c r="D31" s="1">
        <v>0</v>
      </c>
      <c r="E31" s="1">
        <v>0</v>
      </c>
      <c r="F31" s="1">
        <v>74.110702401197813</v>
      </c>
    </row>
    <row r="32" spans="1:6">
      <c r="A32">
        <v>112</v>
      </c>
      <c r="B32" t="s">
        <v>80</v>
      </c>
      <c r="C32" s="2">
        <v>14</v>
      </c>
      <c r="D32" s="1">
        <v>47.002199999999995</v>
      </c>
      <c r="E32" s="1">
        <v>53.58628888888888</v>
      </c>
      <c r="F32" s="1">
        <v>9.2814644858663087E-14</v>
      </c>
    </row>
    <row r="33" spans="1:6">
      <c r="A33">
        <v>116</v>
      </c>
      <c r="B33" t="s">
        <v>81</v>
      </c>
      <c r="C33" s="2">
        <v>21</v>
      </c>
      <c r="D33" s="1">
        <v>0</v>
      </c>
      <c r="E33" s="1">
        <v>12.243986526182514</v>
      </c>
      <c r="F33" s="1">
        <v>58.897222666666686</v>
      </c>
    </row>
    <row r="34" spans="1:6">
      <c r="A34">
        <v>120</v>
      </c>
      <c r="B34" t="s">
        <v>82</v>
      </c>
      <c r="C34" s="2">
        <v>8</v>
      </c>
      <c r="D34" s="1">
        <v>0</v>
      </c>
      <c r="E34" s="1">
        <v>4.6029606023299214</v>
      </c>
      <c r="F34" s="1">
        <v>47.559726658440091</v>
      </c>
    </row>
    <row r="35" spans="1:6">
      <c r="A35">
        <v>124</v>
      </c>
      <c r="B35" t="s">
        <v>83</v>
      </c>
      <c r="C35" s="2">
        <v>1</v>
      </c>
      <c r="D35" s="1">
        <v>43.535714285714285</v>
      </c>
      <c r="E35" s="1">
        <v>61.410623463071211</v>
      </c>
      <c r="F35" s="1">
        <v>6.2450045135165055E-14</v>
      </c>
    </row>
    <row r="36" spans="1:6">
      <c r="A36">
        <v>132</v>
      </c>
      <c r="B36" t="s">
        <v>84</v>
      </c>
      <c r="C36" s="2">
        <v>8</v>
      </c>
      <c r="D36" s="1">
        <v>0</v>
      </c>
      <c r="E36" s="1">
        <v>25.62574811886509</v>
      </c>
      <c r="F36" s="1">
        <v>44.218328618865087</v>
      </c>
    </row>
    <row r="37" spans="1:6">
      <c r="A37">
        <v>140</v>
      </c>
      <c r="B37" t="s">
        <v>85</v>
      </c>
      <c r="C37" s="2">
        <v>8</v>
      </c>
      <c r="D37" s="1">
        <v>0</v>
      </c>
      <c r="E37" s="1">
        <v>1.3572728169334162E-2</v>
      </c>
      <c r="F37" s="1">
        <v>1.3572728169337123E-2</v>
      </c>
    </row>
    <row r="38" spans="1:6">
      <c r="A38">
        <v>144</v>
      </c>
      <c r="B38" t="s">
        <v>86</v>
      </c>
      <c r="C38" s="2">
        <v>25</v>
      </c>
      <c r="D38" s="1">
        <v>0</v>
      </c>
      <c r="E38" s="1">
        <v>20.836172800054165</v>
      </c>
      <c r="F38" s="1">
        <v>2.6645352591003757E-14</v>
      </c>
    </row>
    <row r="39" spans="1:6">
      <c r="A39">
        <v>148</v>
      </c>
      <c r="B39" t="s">
        <v>87</v>
      </c>
      <c r="C39" s="2">
        <v>8</v>
      </c>
      <c r="D39" s="1">
        <v>0</v>
      </c>
      <c r="E39" s="1">
        <v>0.53654091203888266</v>
      </c>
      <c r="F39" s="1">
        <v>59.646191592147289</v>
      </c>
    </row>
    <row r="40" spans="1:6">
      <c r="A40">
        <v>152</v>
      </c>
      <c r="B40" t="s">
        <v>88</v>
      </c>
      <c r="C40" s="2">
        <v>6</v>
      </c>
      <c r="D40" s="1">
        <v>19.366666666666667</v>
      </c>
      <c r="E40" s="1">
        <v>38.204500000000003</v>
      </c>
      <c r="F40" s="1">
        <v>1.2898266666666878</v>
      </c>
    </row>
    <row r="41" spans="1:6">
      <c r="A41">
        <v>156</v>
      </c>
      <c r="B41" t="s">
        <v>89</v>
      </c>
      <c r="C41" s="2">
        <v>20</v>
      </c>
      <c r="D41" s="1">
        <v>20</v>
      </c>
      <c r="E41" s="1">
        <v>28.54926222222225</v>
      </c>
      <c r="F41" s="1">
        <v>8.9261931179862586E-14</v>
      </c>
    </row>
    <row r="42" spans="1:6">
      <c r="A42">
        <v>158</v>
      </c>
      <c r="B42" t="s">
        <v>90</v>
      </c>
      <c r="C42" s="2">
        <v>20</v>
      </c>
      <c r="D42" s="1">
        <v>10.215480853303893</v>
      </c>
      <c r="E42" s="1">
        <v>1.0391687510491465E-13</v>
      </c>
      <c r="F42" s="1">
        <v>1.3156142841808105E-13</v>
      </c>
    </row>
    <row r="43" spans="1:6">
      <c r="A43">
        <v>170</v>
      </c>
      <c r="B43" t="s">
        <v>91</v>
      </c>
      <c r="C43" s="2">
        <v>6</v>
      </c>
      <c r="D43" s="1">
        <v>0</v>
      </c>
      <c r="E43" s="1">
        <v>14.005641576542397</v>
      </c>
      <c r="F43" s="1">
        <v>60.078369777777759</v>
      </c>
    </row>
    <row r="44" spans="1:6">
      <c r="A44">
        <v>174</v>
      </c>
      <c r="B44" t="s">
        <v>92</v>
      </c>
      <c r="C44" s="2">
        <v>9</v>
      </c>
      <c r="D44" s="1">
        <v>0</v>
      </c>
      <c r="E44" s="1">
        <v>6.8236687073627165</v>
      </c>
      <c r="F44" s="1">
        <v>5.2789785789756394</v>
      </c>
    </row>
    <row r="45" spans="1:6">
      <c r="A45">
        <v>178</v>
      </c>
      <c r="B45" t="s">
        <v>93</v>
      </c>
      <c r="C45" s="2">
        <v>8</v>
      </c>
      <c r="D45" s="1">
        <v>0</v>
      </c>
      <c r="E45" s="1">
        <v>30.004712934657988</v>
      </c>
      <c r="F45" s="1">
        <v>4.0856207306205761E-14</v>
      </c>
    </row>
    <row r="46" spans="1:6">
      <c r="A46">
        <v>180</v>
      </c>
      <c r="B46" t="s">
        <v>94</v>
      </c>
      <c r="C46" s="2">
        <v>8</v>
      </c>
      <c r="D46" s="1">
        <v>0</v>
      </c>
      <c r="E46" s="1">
        <v>0.68084752546774796</v>
      </c>
      <c r="F46" s="1">
        <v>68.847029344027916</v>
      </c>
    </row>
    <row r="47" spans="1:6">
      <c r="A47">
        <v>188</v>
      </c>
      <c r="B47" t="s">
        <v>95</v>
      </c>
      <c r="C47" s="2">
        <v>4</v>
      </c>
      <c r="D47" s="1">
        <v>0</v>
      </c>
      <c r="E47" s="1">
        <v>24.07765723132378</v>
      </c>
      <c r="F47" s="1">
        <v>3.8635761256955448E-14</v>
      </c>
    </row>
    <row r="48" spans="1:6">
      <c r="A48">
        <v>191</v>
      </c>
      <c r="B48" t="s">
        <v>96</v>
      </c>
      <c r="C48" s="2">
        <v>12</v>
      </c>
      <c r="D48" s="1">
        <v>22</v>
      </c>
      <c r="E48" s="1">
        <v>62.176622692115714</v>
      </c>
      <c r="F48" s="1">
        <v>21.278918335874273</v>
      </c>
    </row>
    <row r="49" spans="1:6">
      <c r="A49">
        <v>192</v>
      </c>
      <c r="B49" t="s">
        <v>97</v>
      </c>
      <c r="C49" s="2">
        <v>4</v>
      </c>
      <c r="D49" s="1">
        <v>0</v>
      </c>
      <c r="E49" s="1">
        <v>16.180555878781803</v>
      </c>
      <c r="F49" s="1">
        <v>54.738216102103749</v>
      </c>
    </row>
    <row r="50" spans="1:6">
      <c r="A50">
        <v>196</v>
      </c>
      <c r="B50" t="s">
        <v>98</v>
      </c>
      <c r="C50" s="2">
        <v>12</v>
      </c>
      <c r="D50" s="1">
        <v>53.981415436630861</v>
      </c>
      <c r="E50" s="1">
        <v>61.435169311080131</v>
      </c>
      <c r="F50" s="1">
        <v>0</v>
      </c>
    </row>
    <row r="51" spans="1:6">
      <c r="A51">
        <v>203</v>
      </c>
      <c r="B51" t="s">
        <v>99</v>
      </c>
      <c r="C51" s="2">
        <v>12</v>
      </c>
      <c r="D51" s="1">
        <v>8.6999999999999993</v>
      </c>
      <c r="E51" s="1">
        <v>3.8413716652030416E-14</v>
      </c>
      <c r="F51" s="1">
        <v>6.7723604502134549E-15</v>
      </c>
    </row>
    <row r="52" spans="1:6">
      <c r="A52">
        <v>204</v>
      </c>
      <c r="B52" t="s">
        <v>100</v>
      </c>
      <c r="C52" s="2">
        <v>8</v>
      </c>
      <c r="D52" s="1">
        <v>0</v>
      </c>
      <c r="E52" s="1">
        <v>0.67216644359418798</v>
      </c>
      <c r="F52" s="1">
        <v>51.81132972312637</v>
      </c>
    </row>
    <row r="53" spans="1:6">
      <c r="A53">
        <v>208</v>
      </c>
      <c r="B53" t="s">
        <v>101</v>
      </c>
      <c r="C53" s="2">
        <v>11</v>
      </c>
      <c r="D53" s="1">
        <v>2.4</v>
      </c>
      <c r="E53" s="1">
        <v>3.7858605139717838E-14</v>
      </c>
      <c r="F53" s="1">
        <v>9.6381236325271402E-14</v>
      </c>
    </row>
    <row r="54" spans="1:6">
      <c r="A54">
        <v>212</v>
      </c>
      <c r="B54" t="s">
        <v>102</v>
      </c>
      <c r="C54" s="2">
        <v>4</v>
      </c>
      <c r="D54" s="1">
        <v>0</v>
      </c>
      <c r="E54" s="1">
        <v>23.733158120246063</v>
      </c>
      <c r="F54" s="1">
        <v>4.7073456244106637E-14</v>
      </c>
    </row>
    <row r="55" spans="1:6">
      <c r="A55">
        <v>214</v>
      </c>
      <c r="B55" t="s">
        <v>103</v>
      </c>
      <c r="C55" s="2">
        <v>4</v>
      </c>
      <c r="D55" s="1">
        <v>0</v>
      </c>
      <c r="E55" s="1">
        <v>22.532344687161121</v>
      </c>
      <c r="F55" s="1">
        <v>4.4408920985006262E-14</v>
      </c>
    </row>
    <row r="56" spans="1:6">
      <c r="A56">
        <v>218</v>
      </c>
      <c r="B56" t="s">
        <v>104</v>
      </c>
      <c r="C56" s="2">
        <v>6</v>
      </c>
      <c r="D56" s="1">
        <v>0</v>
      </c>
      <c r="E56" s="1">
        <v>15.156484888304288</v>
      </c>
      <c r="F56" s="1">
        <v>53.126797777777767</v>
      </c>
    </row>
    <row r="57" spans="1:6">
      <c r="A57">
        <v>222</v>
      </c>
      <c r="B57" t="s">
        <v>105</v>
      </c>
      <c r="C57" s="2">
        <v>4</v>
      </c>
      <c r="D57" s="1">
        <v>0</v>
      </c>
      <c r="E57" s="1">
        <v>13.841909281061378</v>
      </c>
      <c r="F57" s="1">
        <v>64.490775321118804</v>
      </c>
    </row>
    <row r="58" spans="1:6">
      <c r="A58">
        <v>226</v>
      </c>
      <c r="B58" t="s">
        <v>106</v>
      </c>
      <c r="C58" s="2">
        <v>8</v>
      </c>
      <c r="D58" s="1">
        <v>0</v>
      </c>
      <c r="E58" s="1">
        <v>0</v>
      </c>
      <c r="F58" s="1">
        <v>14.840521893009935</v>
      </c>
    </row>
    <row r="59" spans="1:6">
      <c r="A59">
        <v>231</v>
      </c>
      <c r="B59" t="s">
        <v>107</v>
      </c>
      <c r="C59" s="2">
        <v>9</v>
      </c>
      <c r="D59" s="1">
        <v>0</v>
      </c>
      <c r="E59" s="1">
        <v>2.6266912668791464</v>
      </c>
      <c r="F59" s="1">
        <v>25.391870956753422</v>
      </c>
    </row>
    <row r="60" spans="1:6">
      <c r="A60">
        <v>232</v>
      </c>
      <c r="B60" t="s">
        <v>108</v>
      </c>
      <c r="C60" s="2">
        <v>9</v>
      </c>
      <c r="D60" s="1">
        <v>0</v>
      </c>
      <c r="E60" s="1">
        <v>0</v>
      </c>
      <c r="F60" s="1">
        <v>33.700534864320367</v>
      </c>
    </row>
    <row r="61" spans="1:6">
      <c r="A61">
        <v>233</v>
      </c>
      <c r="B61" t="s">
        <v>109</v>
      </c>
      <c r="C61" s="2">
        <v>12</v>
      </c>
      <c r="D61" s="1">
        <v>13.6</v>
      </c>
      <c r="E61" s="1">
        <v>3.2640556923979602E-14</v>
      </c>
      <c r="F61" s="1">
        <v>8.1046280797636427E-15</v>
      </c>
    </row>
    <row r="62" spans="1:6">
      <c r="A62">
        <v>234</v>
      </c>
      <c r="B62" t="s">
        <v>110</v>
      </c>
      <c r="C62" s="2">
        <v>11</v>
      </c>
      <c r="D62" s="1">
        <v>88.134620413538315</v>
      </c>
      <c r="E62" s="1">
        <v>37.45057422971756</v>
      </c>
      <c r="F62" s="1">
        <v>1.8158314358313676E-14</v>
      </c>
    </row>
    <row r="63" spans="1:6">
      <c r="A63">
        <v>238</v>
      </c>
      <c r="B63" t="s">
        <v>111</v>
      </c>
      <c r="C63" s="2">
        <v>6</v>
      </c>
      <c r="D63" s="1">
        <v>20.413360948016866</v>
      </c>
      <c r="E63" s="1">
        <v>63.830394863560358</v>
      </c>
      <c r="F63" s="1">
        <v>22.073469518656427</v>
      </c>
    </row>
    <row r="64" spans="1:6">
      <c r="A64">
        <v>242</v>
      </c>
      <c r="B64" t="s">
        <v>112</v>
      </c>
      <c r="C64" s="2">
        <v>24</v>
      </c>
      <c r="D64" s="1">
        <v>0</v>
      </c>
      <c r="E64" s="1">
        <v>2.6329573333333296</v>
      </c>
      <c r="F64" s="1">
        <v>70.12800622222224</v>
      </c>
    </row>
    <row r="65" spans="1:6">
      <c r="A65">
        <v>246</v>
      </c>
      <c r="B65" t="s">
        <v>113</v>
      </c>
      <c r="C65" s="2">
        <v>11</v>
      </c>
      <c r="D65" s="1">
        <v>0</v>
      </c>
      <c r="E65" s="1">
        <v>6.1728400169158704E-14</v>
      </c>
      <c r="F65" s="1">
        <v>8.4099394115355608E-14</v>
      </c>
    </row>
    <row r="66" spans="1:6">
      <c r="A66">
        <v>250</v>
      </c>
      <c r="B66" t="s">
        <v>114</v>
      </c>
      <c r="C66" s="2">
        <v>11</v>
      </c>
      <c r="D66" s="1">
        <v>13.2</v>
      </c>
      <c r="E66" s="1">
        <v>0</v>
      </c>
      <c r="F66" s="1">
        <v>9.3869356732056985E-14</v>
      </c>
    </row>
    <row r="67" spans="1:6">
      <c r="A67">
        <v>254</v>
      </c>
      <c r="B67" t="s">
        <v>115</v>
      </c>
      <c r="C67" s="2">
        <v>6</v>
      </c>
      <c r="D67" s="1">
        <v>20.413360948016866</v>
      </c>
      <c r="E67" s="1">
        <v>63.03396192284108</v>
      </c>
      <c r="F67" s="1">
        <v>9.9083821998166393</v>
      </c>
    </row>
    <row r="68" spans="1:6">
      <c r="A68">
        <v>262</v>
      </c>
      <c r="B68" t="s">
        <v>116</v>
      </c>
      <c r="C68" s="2">
        <v>9</v>
      </c>
      <c r="D68" s="1">
        <v>0</v>
      </c>
      <c r="E68" s="1">
        <v>20.994977951436987</v>
      </c>
      <c r="F68" s="1">
        <v>3.907985046680551E-14</v>
      </c>
    </row>
    <row r="69" spans="1:6">
      <c r="A69">
        <v>266</v>
      </c>
      <c r="B69" t="s">
        <v>117</v>
      </c>
      <c r="C69" s="2">
        <v>8</v>
      </c>
      <c r="D69" s="1">
        <v>0</v>
      </c>
      <c r="E69" s="1">
        <v>0</v>
      </c>
      <c r="F69" s="1">
        <v>30.346092967828678</v>
      </c>
    </row>
    <row r="70" spans="1:6">
      <c r="A70">
        <v>268</v>
      </c>
      <c r="B70" t="s">
        <v>118</v>
      </c>
      <c r="C70" s="2">
        <v>16</v>
      </c>
      <c r="D70" s="1">
        <v>0</v>
      </c>
      <c r="E70" s="1">
        <v>14.718805210460435</v>
      </c>
      <c r="F70" s="1">
        <v>70.181059333333323</v>
      </c>
    </row>
    <row r="71" spans="1:6">
      <c r="A71">
        <v>270</v>
      </c>
      <c r="B71" t="s">
        <v>119</v>
      </c>
      <c r="C71" s="2">
        <v>8</v>
      </c>
      <c r="D71" s="1">
        <v>0</v>
      </c>
      <c r="E71" s="1">
        <v>7.4014868308343763E-16</v>
      </c>
      <c r="F71" s="1">
        <v>14.114026617623797</v>
      </c>
    </row>
    <row r="72" spans="1:6">
      <c r="A72">
        <v>276</v>
      </c>
      <c r="B72" t="s">
        <v>120</v>
      </c>
      <c r="C72" s="2">
        <v>11</v>
      </c>
      <c r="D72" s="1">
        <v>3</v>
      </c>
      <c r="E72" s="1">
        <v>2.1094237467877974E-14</v>
      </c>
      <c r="F72" s="1">
        <v>4.9543702473897611E-14</v>
      </c>
    </row>
    <row r="73" spans="1:6">
      <c r="A73">
        <v>288</v>
      </c>
      <c r="B73" t="s">
        <v>121</v>
      </c>
      <c r="C73" s="2">
        <v>8</v>
      </c>
      <c r="D73" s="1">
        <v>0</v>
      </c>
      <c r="E73" s="1">
        <v>8.8689937963130134</v>
      </c>
      <c r="F73" s="1">
        <v>63.82809985074411</v>
      </c>
    </row>
    <row r="74" spans="1:6">
      <c r="A74">
        <v>300</v>
      </c>
      <c r="B74" t="s">
        <v>122</v>
      </c>
      <c r="C74" s="2">
        <v>11</v>
      </c>
      <c r="D74" s="1">
        <v>23.099999999999998</v>
      </c>
      <c r="E74" s="1">
        <v>5.9101933333333356</v>
      </c>
      <c r="F74" s="1">
        <v>1.226796442210798E-13</v>
      </c>
    </row>
    <row r="75" spans="1:6">
      <c r="A75">
        <v>304</v>
      </c>
      <c r="B75" t="s">
        <v>123</v>
      </c>
      <c r="C75" s="2">
        <v>27</v>
      </c>
      <c r="D75" s="1">
        <v>88.2</v>
      </c>
      <c r="E75" s="1">
        <v>47.22647100472193</v>
      </c>
      <c r="F75" s="1">
        <v>8.2600593032111647E-14</v>
      </c>
    </row>
    <row r="76" spans="1:6">
      <c r="A76">
        <v>308</v>
      </c>
      <c r="B76" t="s">
        <v>124</v>
      </c>
      <c r="C76" s="2">
        <v>4</v>
      </c>
      <c r="D76" s="1">
        <v>0</v>
      </c>
      <c r="E76" s="1">
        <v>0</v>
      </c>
      <c r="F76" s="1">
        <v>1.1546319456101628E-14</v>
      </c>
    </row>
    <row r="77" spans="1:6">
      <c r="A77">
        <v>312</v>
      </c>
      <c r="B77" t="s">
        <v>125</v>
      </c>
      <c r="C77" s="2">
        <v>4</v>
      </c>
      <c r="D77" s="1">
        <v>38.038038038038039</v>
      </c>
      <c r="E77" s="1">
        <v>50.503832777819433</v>
      </c>
      <c r="F77" s="1">
        <v>4.5297099404706387E-14</v>
      </c>
    </row>
    <row r="78" spans="1:6">
      <c r="A78">
        <v>320</v>
      </c>
      <c r="B78" t="s">
        <v>126</v>
      </c>
      <c r="C78" s="2">
        <v>4</v>
      </c>
      <c r="D78" s="1">
        <v>0</v>
      </c>
      <c r="E78" s="1">
        <v>61.421462294737843</v>
      </c>
      <c r="F78" s="1">
        <v>7.6827433304060833E-14</v>
      </c>
    </row>
    <row r="79" spans="1:6">
      <c r="A79">
        <v>324</v>
      </c>
      <c r="B79" t="s">
        <v>127</v>
      </c>
      <c r="C79" s="2">
        <v>8</v>
      </c>
      <c r="D79" s="1">
        <v>0</v>
      </c>
      <c r="E79" s="1">
        <v>4.6211590095603183</v>
      </c>
      <c r="F79" s="1">
        <v>64.708742235281633</v>
      </c>
    </row>
    <row r="80" spans="1:6">
      <c r="A80">
        <v>328</v>
      </c>
      <c r="B80" t="s">
        <v>128</v>
      </c>
      <c r="C80" s="2">
        <v>6</v>
      </c>
      <c r="D80" s="1">
        <v>0</v>
      </c>
      <c r="E80" s="1">
        <v>17.218726325330792</v>
      </c>
      <c r="F80" s="1">
        <v>15.742087709272436</v>
      </c>
    </row>
    <row r="81" spans="1:6">
      <c r="A81">
        <v>332</v>
      </c>
      <c r="B81" t="s">
        <v>129</v>
      </c>
      <c r="C81" s="2">
        <v>4</v>
      </c>
      <c r="D81" s="1">
        <v>0</v>
      </c>
      <c r="E81" s="1">
        <v>16.421819732056431</v>
      </c>
      <c r="F81" s="1">
        <v>14.94648533333342</v>
      </c>
    </row>
    <row r="82" spans="1:6">
      <c r="A82">
        <v>340</v>
      </c>
      <c r="B82" t="s">
        <v>130</v>
      </c>
      <c r="C82" s="2">
        <v>4</v>
      </c>
      <c r="D82" s="1">
        <v>0</v>
      </c>
      <c r="E82" s="1">
        <v>29.011183805484144</v>
      </c>
      <c r="F82" s="1">
        <v>6.8056671409522096E-14</v>
      </c>
    </row>
    <row r="83" spans="1:6">
      <c r="A83">
        <v>344</v>
      </c>
      <c r="B83" t="s">
        <v>131</v>
      </c>
      <c r="C83" s="2">
        <v>20</v>
      </c>
      <c r="D83" s="1">
        <v>30.64644255991168</v>
      </c>
      <c r="E83" s="1">
        <v>0</v>
      </c>
      <c r="F83" s="1">
        <v>0</v>
      </c>
    </row>
    <row r="84" spans="1:6">
      <c r="A84">
        <v>348</v>
      </c>
      <c r="B84" t="s">
        <v>132</v>
      </c>
      <c r="C84" s="2">
        <v>12</v>
      </c>
      <c r="D84" s="1">
        <v>36.4</v>
      </c>
      <c r="E84" s="1">
        <v>1.021405182655144E-14</v>
      </c>
      <c r="F84" s="1">
        <v>8.1934459217336553E-14</v>
      </c>
    </row>
    <row r="85" spans="1:6">
      <c r="A85">
        <v>352</v>
      </c>
      <c r="B85" t="s">
        <v>133</v>
      </c>
      <c r="C85" s="2">
        <v>11</v>
      </c>
      <c r="D85" s="1">
        <v>0</v>
      </c>
      <c r="E85" s="1">
        <v>24.626753333333333</v>
      </c>
      <c r="F85" s="1">
        <v>4.6185277824406512E-14</v>
      </c>
    </row>
    <row r="86" spans="1:6">
      <c r="A86">
        <v>356</v>
      </c>
      <c r="B86" t="s">
        <v>134</v>
      </c>
      <c r="C86" s="2">
        <v>18</v>
      </c>
      <c r="D86" s="1">
        <v>0</v>
      </c>
      <c r="E86" s="1">
        <v>38.874720689379927</v>
      </c>
      <c r="F86" s="1">
        <v>10.577457456273557</v>
      </c>
    </row>
    <row r="87" spans="1:6">
      <c r="A87">
        <v>360</v>
      </c>
      <c r="B87" t="s">
        <v>135</v>
      </c>
      <c r="C87" s="2">
        <v>22</v>
      </c>
      <c r="D87" s="1">
        <v>0</v>
      </c>
      <c r="E87" s="1">
        <v>44.34448198695263</v>
      </c>
      <c r="F87" s="1">
        <v>2.8421709430404007E-14</v>
      </c>
    </row>
    <row r="88" spans="1:6">
      <c r="A88">
        <v>364</v>
      </c>
      <c r="B88" t="s">
        <v>136</v>
      </c>
      <c r="C88" s="2">
        <v>17</v>
      </c>
      <c r="D88" s="1">
        <v>0</v>
      </c>
      <c r="E88" s="1">
        <v>14.778585340943389</v>
      </c>
      <c r="F88" s="1">
        <v>51.368797865642456</v>
      </c>
    </row>
    <row r="89" spans="1:6">
      <c r="A89">
        <v>368</v>
      </c>
      <c r="B89" t="s">
        <v>137</v>
      </c>
      <c r="C89" s="2">
        <v>17</v>
      </c>
      <c r="D89" s="1">
        <v>0</v>
      </c>
      <c r="E89" s="1">
        <v>31.995526377657196</v>
      </c>
      <c r="F89" s="1">
        <v>0</v>
      </c>
    </row>
    <row r="90" spans="1:6">
      <c r="A90">
        <v>372</v>
      </c>
      <c r="B90" t="s">
        <v>138</v>
      </c>
      <c r="C90" s="2">
        <v>11</v>
      </c>
      <c r="D90" s="1">
        <v>30</v>
      </c>
      <c r="E90" s="1">
        <v>6.0396132539608516E-14</v>
      </c>
      <c r="F90" s="1">
        <v>1.1879386363489175E-13</v>
      </c>
    </row>
    <row r="91" spans="1:6">
      <c r="A91">
        <v>376</v>
      </c>
      <c r="B91" t="s">
        <v>139</v>
      </c>
      <c r="C91" s="2">
        <v>17</v>
      </c>
      <c r="D91" s="1">
        <v>35.903964591969903</v>
      </c>
      <c r="E91" s="1">
        <v>15.461477062585011</v>
      </c>
      <c r="F91" s="1">
        <v>3.5527136788005009E-14</v>
      </c>
    </row>
    <row r="92" spans="1:6">
      <c r="A92">
        <v>380</v>
      </c>
      <c r="B92" t="s">
        <v>140</v>
      </c>
      <c r="C92" s="2">
        <v>11</v>
      </c>
      <c r="D92" s="1">
        <v>19.399999999999999</v>
      </c>
      <c r="E92" s="1">
        <v>18.7</v>
      </c>
      <c r="F92" s="1">
        <v>2.8754776337791554E-14</v>
      </c>
    </row>
    <row r="93" spans="1:6">
      <c r="A93">
        <v>384</v>
      </c>
      <c r="B93" t="s">
        <v>141</v>
      </c>
      <c r="C93" s="2">
        <v>8</v>
      </c>
      <c r="D93" s="1">
        <v>0</v>
      </c>
      <c r="E93" s="1">
        <v>12.606412555465486</v>
      </c>
      <c r="F93" s="1">
        <v>76.538503500546398</v>
      </c>
    </row>
    <row r="94" spans="1:6">
      <c r="A94">
        <v>388</v>
      </c>
      <c r="B94" t="s">
        <v>142</v>
      </c>
      <c r="C94" s="2">
        <v>4</v>
      </c>
      <c r="D94" s="1">
        <v>0</v>
      </c>
      <c r="E94" s="1">
        <v>13.115606315249675</v>
      </c>
      <c r="F94" s="1">
        <v>30.369416735417765</v>
      </c>
    </row>
    <row r="95" spans="1:6">
      <c r="A95">
        <v>392</v>
      </c>
      <c r="B95" t="s">
        <v>143</v>
      </c>
      <c r="C95" s="2">
        <v>23</v>
      </c>
      <c r="D95" s="1">
        <v>50.599999999999994</v>
      </c>
      <c r="E95" s="1">
        <v>21.527203962855431</v>
      </c>
      <c r="F95" s="1">
        <v>1.3200551762793111E-13</v>
      </c>
    </row>
    <row r="96" spans="1:6">
      <c r="A96">
        <v>398</v>
      </c>
      <c r="B96" t="s">
        <v>144</v>
      </c>
      <c r="C96" s="2">
        <v>15</v>
      </c>
      <c r="D96" s="1">
        <v>32.057709251101322</v>
      </c>
      <c r="E96" s="1">
        <v>29.093455560858555</v>
      </c>
      <c r="F96" s="1">
        <v>6.0396132539608516E-14</v>
      </c>
    </row>
    <row r="97" spans="1:6">
      <c r="A97">
        <v>400</v>
      </c>
      <c r="B97" t="s">
        <v>145</v>
      </c>
      <c r="C97" s="2">
        <v>17</v>
      </c>
      <c r="D97" s="1">
        <v>59.8</v>
      </c>
      <c r="E97" s="1">
        <v>92.694441333333316</v>
      </c>
      <c r="F97" s="1">
        <v>2.4868995751603507E-14</v>
      </c>
    </row>
    <row r="98" spans="1:6">
      <c r="A98">
        <v>404</v>
      </c>
      <c r="B98" t="s">
        <v>146</v>
      </c>
      <c r="C98" s="2">
        <v>9</v>
      </c>
      <c r="D98" s="1">
        <v>0</v>
      </c>
      <c r="E98" s="1">
        <v>9.0102458872023306</v>
      </c>
      <c r="F98" s="1">
        <v>17.092768867696151</v>
      </c>
    </row>
    <row r="99" spans="1:6">
      <c r="A99">
        <v>408</v>
      </c>
      <c r="B99" t="s">
        <v>147</v>
      </c>
      <c r="C99" s="2">
        <v>19</v>
      </c>
      <c r="D99" s="1">
        <v>18.84781884781885</v>
      </c>
      <c r="E99" s="1">
        <v>10.145471838706245</v>
      </c>
      <c r="F99" s="1">
        <v>10.145471838706245</v>
      </c>
    </row>
    <row r="100" spans="1:6">
      <c r="A100">
        <v>410</v>
      </c>
      <c r="B100" t="s">
        <v>148</v>
      </c>
      <c r="C100" s="2">
        <v>19</v>
      </c>
      <c r="D100" s="1">
        <v>29.599999999999998</v>
      </c>
      <c r="E100" s="1">
        <v>32.107168888888893</v>
      </c>
      <c r="F100" s="1">
        <v>1.7486012637846216E-14</v>
      </c>
    </row>
    <row r="101" spans="1:6">
      <c r="A101">
        <v>414</v>
      </c>
      <c r="B101" t="s">
        <v>149</v>
      </c>
      <c r="C101" s="2">
        <v>17</v>
      </c>
      <c r="D101" s="1">
        <v>10</v>
      </c>
      <c r="E101" s="1">
        <v>3.3750779948604759E-14</v>
      </c>
      <c r="F101" s="1">
        <v>3.3750779948604759E-14</v>
      </c>
    </row>
    <row r="102" spans="1:6">
      <c r="A102">
        <v>417</v>
      </c>
      <c r="B102" t="s">
        <v>150</v>
      </c>
      <c r="C102" s="2">
        <v>15</v>
      </c>
      <c r="D102" s="1">
        <v>0</v>
      </c>
      <c r="E102" s="1">
        <v>12.857241450943121</v>
      </c>
      <c r="F102" s="1">
        <v>80.098252252421531</v>
      </c>
    </row>
    <row r="103" spans="1:6">
      <c r="A103">
        <v>418</v>
      </c>
      <c r="B103" t="s">
        <v>151</v>
      </c>
      <c r="C103" s="2">
        <v>21</v>
      </c>
      <c r="D103" s="1">
        <v>0</v>
      </c>
      <c r="E103" s="1">
        <v>38.919398843406903</v>
      </c>
      <c r="F103" s="1">
        <v>3.2756683045213002</v>
      </c>
    </row>
    <row r="104" spans="1:6">
      <c r="A104">
        <v>422</v>
      </c>
      <c r="B104" t="s">
        <v>152</v>
      </c>
      <c r="C104" s="2">
        <v>17</v>
      </c>
      <c r="D104" s="1">
        <v>0</v>
      </c>
      <c r="E104" s="1">
        <v>0</v>
      </c>
      <c r="F104" s="1">
        <v>3.8907113333333254</v>
      </c>
    </row>
    <row r="105" spans="1:6">
      <c r="A105">
        <v>426</v>
      </c>
      <c r="B105" t="s">
        <v>153</v>
      </c>
      <c r="C105" s="2">
        <v>26</v>
      </c>
      <c r="D105" s="1">
        <v>0</v>
      </c>
      <c r="E105" s="1">
        <v>4.5996293158689996</v>
      </c>
      <c r="F105" s="1">
        <v>59.9882469226864</v>
      </c>
    </row>
    <row r="106" spans="1:6">
      <c r="A106">
        <v>428</v>
      </c>
      <c r="B106" t="s">
        <v>154</v>
      </c>
      <c r="C106" s="2">
        <v>12</v>
      </c>
      <c r="D106" s="1">
        <v>42</v>
      </c>
      <c r="E106" s="1">
        <v>3.907985046680551E-14</v>
      </c>
      <c r="F106" s="1">
        <v>1.2667644710973036E-13</v>
      </c>
    </row>
    <row r="107" spans="1:6">
      <c r="A107">
        <v>430</v>
      </c>
      <c r="B107" t="s">
        <v>155</v>
      </c>
      <c r="C107" s="2">
        <v>8</v>
      </c>
      <c r="D107" s="1">
        <v>0</v>
      </c>
      <c r="E107" s="1">
        <v>0.57648577278486446</v>
      </c>
      <c r="F107" s="1">
        <v>88.469096192870282</v>
      </c>
    </row>
    <row r="108" spans="1:6">
      <c r="A108">
        <v>434</v>
      </c>
      <c r="B108" t="s">
        <v>156</v>
      </c>
      <c r="C108" s="2">
        <v>7</v>
      </c>
      <c r="D108" s="1">
        <v>0</v>
      </c>
      <c r="E108" s="1">
        <v>0</v>
      </c>
      <c r="F108" s="1">
        <v>70.229226666666662</v>
      </c>
    </row>
    <row r="109" spans="1:6">
      <c r="A109">
        <v>438</v>
      </c>
      <c r="B109" t="s">
        <v>157</v>
      </c>
      <c r="C109" s="2">
        <v>11</v>
      </c>
      <c r="D109" s="1">
        <v>88.134620413538315</v>
      </c>
      <c r="E109" s="1">
        <v>2.1316282072803006E-14</v>
      </c>
      <c r="F109" s="1">
        <v>2.1316282072803006E-14</v>
      </c>
    </row>
    <row r="110" spans="1:6">
      <c r="A110">
        <v>440</v>
      </c>
      <c r="B110" t="s">
        <v>158</v>
      </c>
      <c r="C110" s="2">
        <v>12</v>
      </c>
      <c r="D110" s="1">
        <v>6.8860000000000001</v>
      </c>
      <c r="E110" s="1">
        <v>3.0198066269804258E-14</v>
      </c>
      <c r="F110" s="1">
        <v>2.7311486405778851E-14</v>
      </c>
    </row>
    <row r="111" spans="1:6">
      <c r="A111">
        <v>442</v>
      </c>
      <c r="B111" t="s">
        <v>159</v>
      </c>
      <c r="C111" s="2">
        <v>11</v>
      </c>
      <c r="D111" s="1">
        <v>62</v>
      </c>
      <c r="E111" s="1">
        <v>1.4210854715202004E-14</v>
      </c>
      <c r="F111" s="1">
        <v>1.4210854715202004E-14</v>
      </c>
    </row>
    <row r="112" spans="1:6">
      <c r="A112">
        <v>450</v>
      </c>
      <c r="B112" t="s">
        <v>160</v>
      </c>
      <c r="C112" s="2">
        <v>9</v>
      </c>
      <c r="D112" s="1">
        <v>0</v>
      </c>
      <c r="E112" s="1">
        <v>8.4489389028138268E-2</v>
      </c>
      <c r="F112" s="1">
        <v>26.408414356753397</v>
      </c>
    </row>
    <row r="113" spans="1:6">
      <c r="A113">
        <v>454</v>
      </c>
      <c r="B113" t="s">
        <v>161</v>
      </c>
      <c r="C113" s="2">
        <v>26</v>
      </c>
      <c r="D113" s="1">
        <v>0</v>
      </c>
      <c r="E113" s="1">
        <v>1.572815951552305E-15</v>
      </c>
      <c r="F113" s="1">
        <v>53.599662170269696</v>
      </c>
    </row>
    <row r="114" spans="1:6">
      <c r="A114">
        <v>458</v>
      </c>
      <c r="B114" t="s">
        <v>162</v>
      </c>
      <c r="C114" s="2">
        <v>21</v>
      </c>
      <c r="D114" s="1">
        <v>0</v>
      </c>
      <c r="E114" s="1">
        <v>72.271184444444486</v>
      </c>
      <c r="F114" s="1">
        <v>6.3726801613483985E-14</v>
      </c>
    </row>
    <row r="115" spans="1:6">
      <c r="A115">
        <v>466</v>
      </c>
      <c r="B115" t="s">
        <v>163</v>
      </c>
      <c r="C115" s="2">
        <v>8</v>
      </c>
      <c r="D115" s="1">
        <v>0</v>
      </c>
      <c r="E115" s="1">
        <v>8.6460772282287046E-2</v>
      </c>
      <c r="F115" s="1">
        <v>83.296955399999945</v>
      </c>
    </row>
    <row r="116" spans="1:6">
      <c r="A116">
        <v>470</v>
      </c>
      <c r="B116" t="s">
        <v>164</v>
      </c>
      <c r="C116" s="2">
        <v>12</v>
      </c>
      <c r="D116" s="1">
        <v>6.6</v>
      </c>
      <c r="E116" s="1">
        <v>77.59268666666668</v>
      </c>
      <c r="F116" s="1">
        <v>9.681144774731365E-14</v>
      </c>
    </row>
    <row r="117" spans="1:6">
      <c r="A117">
        <v>474</v>
      </c>
      <c r="B117" t="s">
        <v>165</v>
      </c>
      <c r="C117" s="2">
        <v>4</v>
      </c>
      <c r="D117" s="1">
        <v>0</v>
      </c>
      <c r="E117" s="1">
        <v>36.646073372472273</v>
      </c>
      <c r="F117" s="1">
        <v>0</v>
      </c>
    </row>
    <row r="118" spans="1:6">
      <c r="A118">
        <v>478</v>
      </c>
      <c r="B118" t="s">
        <v>166</v>
      </c>
      <c r="C118" s="2">
        <v>8</v>
      </c>
      <c r="D118" s="1">
        <v>0</v>
      </c>
      <c r="E118" s="1">
        <v>4.1755374080443799</v>
      </c>
      <c r="F118" s="1">
        <v>44.693959098476483</v>
      </c>
    </row>
    <row r="119" spans="1:6">
      <c r="A119">
        <v>480</v>
      </c>
      <c r="B119" t="s">
        <v>167</v>
      </c>
      <c r="C119" s="2">
        <v>9</v>
      </c>
      <c r="D119" s="1">
        <v>0</v>
      </c>
      <c r="E119" s="1">
        <v>30.032228537623965</v>
      </c>
      <c r="F119" s="1">
        <v>6.022241622554322</v>
      </c>
    </row>
    <row r="120" spans="1:6">
      <c r="A120">
        <v>484</v>
      </c>
      <c r="B120" t="s">
        <v>168</v>
      </c>
      <c r="C120" s="2">
        <v>3</v>
      </c>
      <c r="D120" s="1">
        <v>24.048214285714291</v>
      </c>
      <c r="E120" s="1">
        <v>73.828965877192985</v>
      </c>
      <c r="F120" s="1">
        <v>1.8583594152047205</v>
      </c>
    </row>
    <row r="121" spans="1:6">
      <c r="A121">
        <v>496</v>
      </c>
      <c r="B121" t="s">
        <v>169</v>
      </c>
      <c r="C121" s="2">
        <v>20</v>
      </c>
      <c r="D121" s="1">
        <v>0</v>
      </c>
      <c r="E121" s="1">
        <v>0</v>
      </c>
      <c r="F121" s="1">
        <v>5.7176485768195562E-14</v>
      </c>
    </row>
    <row r="122" spans="1:6">
      <c r="A122">
        <v>498</v>
      </c>
      <c r="B122" t="s">
        <v>170</v>
      </c>
      <c r="C122" s="2">
        <v>14</v>
      </c>
      <c r="D122" s="1">
        <v>26.5</v>
      </c>
      <c r="E122" s="1">
        <v>51.533931568569052</v>
      </c>
      <c r="F122" s="1">
        <v>78.915565281731219</v>
      </c>
    </row>
    <row r="123" spans="1:6">
      <c r="A123">
        <v>500</v>
      </c>
      <c r="B123" t="s">
        <v>171</v>
      </c>
      <c r="C123" s="2">
        <v>4</v>
      </c>
      <c r="D123" s="1">
        <v>0</v>
      </c>
      <c r="E123" s="1">
        <v>39.897340829346604</v>
      </c>
      <c r="F123" s="1">
        <v>2.886579864025407E-14</v>
      </c>
    </row>
    <row r="124" spans="1:6">
      <c r="A124">
        <v>504</v>
      </c>
      <c r="B124" t="s">
        <v>172</v>
      </c>
      <c r="C124" s="2">
        <v>7</v>
      </c>
      <c r="D124" s="1">
        <v>0</v>
      </c>
      <c r="E124" s="1">
        <v>17.288557434074935</v>
      </c>
      <c r="F124" s="1">
        <v>77.184897111111113</v>
      </c>
    </row>
    <row r="125" spans="1:6">
      <c r="A125">
        <v>508</v>
      </c>
      <c r="B125" t="s">
        <v>173</v>
      </c>
      <c r="C125" s="2">
        <v>26</v>
      </c>
      <c r="D125" s="1">
        <v>0</v>
      </c>
      <c r="E125" s="1">
        <v>0.3495743494233316</v>
      </c>
      <c r="F125" s="1">
        <v>53.271802594750554</v>
      </c>
    </row>
    <row r="126" spans="1:6">
      <c r="A126">
        <v>512</v>
      </c>
      <c r="B126" t="s">
        <v>174</v>
      </c>
      <c r="C126" s="2">
        <v>17</v>
      </c>
      <c r="D126" s="1">
        <v>0</v>
      </c>
      <c r="E126" s="1">
        <v>19.726272972546035</v>
      </c>
      <c r="F126" s="1">
        <v>3.5527136788005009E-15</v>
      </c>
    </row>
    <row r="127" spans="1:6">
      <c r="A127">
        <v>516</v>
      </c>
      <c r="B127" t="s">
        <v>175</v>
      </c>
      <c r="C127" s="2">
        <v>26</v>
      </c>
      <c r="D127" s="1">
        <v>0</v>
      </c>
      <c r="E127" s="1">
        <v>13.108955971976876</v>
      </c>
      <c r="F127" s="1">
        <v>54.507582042122245</v>
      </c>
    </row>
    <row r="128" spans="1:6">
      <c r="A128">
        <v>524</v>
      </c>
      <c r="B128" t="s">
        <v>176</v>
      </c>
      <c r="C128" s="2">
        <v>25</v>
      </c>
      <c r="D128" s="1">
        <v>0</v>
      </c>
      <c r="E128" s="1">
        <v>5.9743939155581307</v>
      </c>
      <c r="F128" s="1">
        <v>54.504755706533935</v>
      </c>
    </row>
    <row r="129" spans="1:6">
      <c r="A129">
        <v>528</v>
      </c>
      <c r="B129" t="s">
        <v>177</v>
      </c>
      <c r="C129" s="2">
        <v>11</v>
      </c>
      <c r="D129" s="1">
        <v>1.3</v>
      </c>
      <c r="E129" s="1">
        <v>0</v>
      </c>
      <c r="F129" s="1">
        <v>0</v>
      </c>
    </row>
    <row r="130" spans="1:6">
      <c r="A130">
        <v>530</v>
      </c>
      <c r="B130" t="s">
        <v>178</v>
      </c>
      <c r="C130" s="2">
        <v>4</v>
      </c>
      <c r="D130" s="1">
        <v>0</v>
      </c>
      <c r="E130" s="1">
        <v>41.283419185080284</v>
      </c>
      <c r="F130" s="1">
        <v>0</v>
      </c>
    </row>
    <row r="131" spans="1:6">
      <c r="A131">
        <v>533</v>
      </c>
      <c r="B131" t="s">
        <v>179</v>
      </c>
      <c r="C131" s="2">
        <v>4</v>
      </c>
      <c r="D131" s="1">
        <v>0</v>
      </c>
      <c r="E131" s="1">
        <v>5.3290705182007514E-14</v>
      </c>
      <c r="F131" s="1">
        <v>6.2616578588858829E-14</v>
      </c>
    </row>
    <row r="132" spans="1:6">
      <c r="A132">
        <v>540</v>
      </c>
      <c r="B132" t="s">
        <v>180</v>
      </c>
      <c r="C132" s="2">
        <v>24</v>
      </c>
      <c r="D132" s="1">
        <v>0</v>
      </c>
      <c r="E132" s="1">
        <v>74.878350769055928</v>
      </c>
      <c r="F132" s="1">
        <v>7.333137777777857</v>
      </c>
    </row>
    <row r="133" spans="1:6">
      <c r="A133">
        <v>548</v>
      </c>
      <c r="B133" t="s">
        <v>181</v>
      </c>
      <c r="C133" s="2">
        <v>24</v>
      </c>
      <c r="D133" s="1">
        <v>0</v>
      </c>
      <c r="E133" s="1">
        <v>6.1032945683700763</v>
      </c>
      <c r="F133" s="1">
        <v>68.253444668877563</v>
      </c>
    </row>
    <row r="134" spans="1:6">
      <c r="A134">
        <v>554</v>
      </c>
      <c r="B134" t="s">
        <v>182</v>
      </c>
      <c r="C134" s="2">
        <v>24</v>
      </c>
      <c r="D134" s="1">
        <v>24.187999999999999</v>
      </c>
      <c r="E134" s="1">
        <v>10.003917353817698</v>
      </c>
      <c r="F134" s="1">
        <v>8.634759574022155E-14</v>
      </c>
    </row>
    <row r="135" spans="1:6">
      <c r="A135">
        <v>558</v>
      </c>
      <c r="B135" t="s">
        <v>183</v>
      </c>
      <c r="C135" s="2">
        <v>4</v>
      </c>
      <c r="D135" s="1">
        <v>0</v>
      </c>
      <c r="E135" s="1">
        <v>49.100862063229386</v>
      </c>
      <c r="F135" s="1">
        <v>3.1641356201816961E-14</v>
      </c>
    </row>
    <row r="136" spans="1:6">
      <c r="A136">
        <v>562</v>
      </c>
      <c r="B136" t="s">
        <v>184</v>
      </c>
      <c r="C136" s="2">
        <v>8</v>
      </c>
      <c r="D136" s="1">
        <v>0</v>
      </c>
      <c r="E136" s="1">
        <v>2.7282900233100101E-2</v>
      </c>
      <c r="F136" s="1">
        <v>71.782713111111121</v>
      </c>
    </row>
    <row r="137" spans="1:6">
      <c r="A137">
        <v>566</v>
      </c>
      <c r="B137" t="s">
        <v>185</v>
      </c>
      <c r="C137" s="2">
        <v>8</v>
      </c>
      <c r="D137" s="1">
        <v>0</v>
      </c>
      <c r="E137" s="1">
        <v>14.479823132377991</v>
      </c>
      <c r="F137" s="1">
        <v>16.311078482633771</v>
      </c>
    </row>
    <row r="138" spans="1:6">
      <c r="A138">
        <v>578</v>
      </c>
      <c r="B138" t="s">
        <v>186</v>
      </c>
      <c r="C138" s="2">
        <v>11</v>
      </c>
      <c r="D138" s="1">
        <v>1.6</v>
      </c>
      <c r="E138" s="1">
        <v>4.4853010194856324E-14</v>
      </c>
      <c r="F138" s="1">
        <v>8.6541884769530952E-14</v>
      </c>
    </row>
    <row r="139" spans="1:6">
      <c r="A139">
        <v>586</v>
      </c>
      <c r="B139" t="s">
        <v>187</v>
      </c>
      <c r="C139" s="2">
        <v>25</v>
      </c>
      <c r="D139" s="1">
        <v>0</v>
      </c>
      <c r="E139" s="1">
        <v>12.99226360575134</v>
      </c>
      <c r="F139" s="1">
        <v>43.213901777777835</v>
      </c>
    </row>
    <row r="140" spans="1:6">
      <c r="A140">
        <v>591</v>
      </c>
      <c r="B140" t="s">
        <v>188</v>
      </c>
      <c r="C140" s="2">
        <v>4</v>
      </c>
      <c r="D140" s="1">
        <v>0</v>
      </c>
      <c r="E140" s="1">
        <v>2.8421709430404007E-14</v>
      </c>
      <c r="F140" s="1">
        <v>5.2846615972157451E-14</v>
      </c>
    </row>
    <row r="141" spans="1:6">
      <c r="A141">
        <v>598</v>
      </c>
      <c r="B141" t="s">
        <v>189</v>
      </c>
      <c r="C141" s="2">
        <v>22</v>
      </c>
      <c r="D141" s="1">
        <v>0</v>
      </c>
      <c r="E141" s="1">
        <v>13.89489465617298</v>
      </c>
      <c r="F141" s="1">
        <v>3.1625762222222491</v>
      </c>
    </row>
    <row r="142" spans="1:6">
      <c r="A142">
        <v>600</v>
      </c>
      <c r="B142" t="s">
        <v>190</v>
      </c>
      <c r="C142" s="2">
        <v>6</v>
      </c>
      <c r="D142" s="1">
        <v>0</v>
      </c>
      <c r="E142" s="1">
        <v>20.106231299307474</v>
      </c>
      <c r="F142" s="1">
        <v>1.1546319456101628E-14</v>
      </c>
    </row>
    <row r="143" spans="1:6">
      <c r="A143">
        <v>604</v>
      </c>
      <c r="B143" t="s">
        <v>191</v>
      </c>
      <c r="C143" s="2">
        <v>6</v>
      </c>
      <c r="D143" s="1">
        <v>0</v>
      </c>
      <c r="E143" s="1">
        <v>28.165005876057549</v>
      </c>
      <c r="F143" s="1">
        <v>79.747135111111135</v>
      </c>
    </row>
    <row r="144" spans="1:6">
      <c r="A144">
        <v>608</v>
      </c>
      <c r="B144" t="s">
        <v>192</v>
      </c>
      <c r="C144" s="2">
        <v>21</v>
      </c>
      <c r="D144" s="1">
        <v>0</v>
      </c>
      <c r="E144" s="1">
        <v>36.521216959446043</v>
      </c>
      <c r="F144" s="1">
        <v>2.5757174171303632E-14</v>
      </c>
    </row>
    <row r="145" spans="1:6">
      <c r="A145">
        <v>616</v>
      </c>
      <c r="B145" t="s">
        <v>193</v>
      </c>
      <c r="C145" s="2">
        <v>12</v>
      </c>
      <c r="D145" s="1">
        <v>14.9</v>
      </c>
      <c r="E145" s="1">
        <v>2.3092638912203256E-14</v>
      </c>
      <c r="F145" s="1">
        <v>1.1990408665951691E-13</v>
      </c>
    </row>
    <row r="146" spans="1:6">
      <c r="A146">
        <v>620</v>
      </c>
      <c r="B146" t="s">
        <v>194</v>
      </c>
      <c r="C146" s="2">
        <v>11</v>
      </c>
      <c r="D146" s="1">
        <v>39.4</v>
      </c>
      <c r="E146" s="1">
        <v>48.370939038805346</v>
      </c>
      <c r="F146" s="1">
        <v>2.5757174171303632E-14</v>
      </c>
    </row>
    <row r="147" spans="1:6">
      <c r="A147">
        <v>624</v>
      </c>
      <c r="B147" t="s">
        <v>195</v>
      </c>
      <c r="C147" s="2">
        <v>8</v>
      </c>
      <c r="D147" s="1">
        <v>0</v>
      </c>
      <c r="E147" s="1">
        <v>0</v>
      </c>
      <c r="F147" s="1">
        <v>40.791449414386015</v>
      </c>
    </row>
    <row r="148" spans="1:6">
      <c r="A148">
        <v>626</v>
      </c>
      <c r="B148" t="s">
        <v>196</v>
      </c>
      <c r="C148" s="2">
        <v>22</v>
      </c>
      <c r="D148" s="1">
        <v>0</v>
      </c>
      <c r="E148" s="1">
        <v>48.050712556431506</v>
      </c>
      <c r="F148" s="1">
        <v>8.7485574340462335E-14</v>
      </c>
    </row>
    <row r="149" spans="1:6">
      <c r="A149">
        <v>630</v>
      </c>
      <c r="B149" t="s">
        <v>197</v>
      </c>
      <c r="C149" s="2">
        <v>4</v>
      </c>
      <c r="D149" s="1">
        <v>0</v>
      </c>
      <c r="E149" s="1">
        <v>37.697439999999951</v>
      </c>
      <c r="F149" s="1">
        <v>97.445915555555558</v>
      </c>
    </row>
    <row r="150" spans="1:6">
      <c r="A150">
        <v>634</v>
      </c>
      <c r="B150" t="s">
        <v>198</v>
      </c>
      <c r="C150" s="2">
        <v>17</v>
      </c>
      <c r="D150" s="1">
        <v>0</v>
      </c>
      <c r="E150" s="1">
        <v>1.27675647831893E-14</v>
      </c>
      <c r="F150" s="1">
        <v>0</v>
      </c>
    </row>
    <row r="151" spans="1:6">
      <c r="A151">
        <v>638</v>
      </c>
      <c r="B151" t="s">
        <v>199</v>
      </c>
      <c r="C151" s="2">
        <v>9</v>
      </c>
      <c r="D151" s="1">
        <v>0</v>
      </c>
      <c r="E151" s="1">
        <v>0</v>
      </c>
      <c r="F151" s="1">
        <v>84.043043250866376</v>
      </c>
    </row>
    <row r="152" spans="1:6">
      <c r="A152">
        <v>642</v>
      </c>
      <c r="B152" t="s">
        <v>200</v>
      </c>
      <c r="C152" s="2">
        <v>12</v>
      </c>
      <c r="D152" s="1">
        <v>21.3</v>
      </c>
      <c r="E152" s="1">
        <v>0.94696956187650017</v>
      </c>
      <c r="F152" s="1">
        <v>0</v>
      </c>
    </row>
    <row r="153" spans="1:6">
      <c r="A153">
        <v>643</v>
      </c>
      <c r="B153" t="s">
        <v>201</v>
      </c>
      <c r="C153" s="2">
        <v>16</v>
      </c>
      <c r="D153" s="1">
        <v>46.454999999999998</v>
      </c>
      <c r="E153" s="1">
        <v>83.429888580949125</v>
      </c>
      <c r="F153" s="1">
        <v>14.925373025393576</v>
      </c>
    </row>
    <row r="154" spans="1:6">
      <c r="A154">
        <v>646</v>
      </c>
      <c r="B154" t="s">
        <v>202</v>
      </c>
      <c r="C154" s="2">
        <v>9</v>
      </c>
      <c r="D154" s="1">
        <v>0</v>
      </c>
      <c r="E154" s="1">
        <v>4.3852050241470621</v>
      </c>
      <c r="F154" s="1">
        <v>31.202914467864474</v>
      </c>
    </row>
    <row r="155" spans="1:6">
      <c r="A155">
        <v>659</v>
      </c>
      <c r="B155" t="s">
        <v>203</v>
      </c>
      <c r="C155" s="2">
        <v>4</v>
      </c>
      <c r="D155" s="1">
        <v>0</v>
      </c>
      <c r="E155" s="1">
        <v>1.3322676295501878E-14</v>
      </c>
      <c r="F155" s="1">
        <v>3.2862601528904634E-14</v>
      </c>
    </row>
    <row r="156" spans="1:6">
      <c r="A156">
        <v>660</v>
      </c>
      <c r="B156" t="s">
        <v>204</v>
      </c>
      <c r="C156" s="2">
        <v>4</v>
      </c>
      <c r="D156" s="1">
        <v>0</v>
      </c>
      <c r="E156" s="1">
        <v>0</v>
      </c>
      <c r="F156" s="1">
        <v>0</v>
      </c>
    </row>
    <row r="157" spans="1:6">
      <c r="A157">
        <v>662</v>
      </c>
      <c r="B157" t="s">
        <v>205</v>
      </c>
      <c r="C157" s="2">
        <v>4</v>
      </c>
      <c r="D157" s="1">
        <v>0</v>
      </c>
      <c r="E157" s="1">
        <v>6.7161450828160181</v>
      </c>
      <c r="F157" s="1">
        <v>4.4408920985006262E-14</v>
      </c>
    </row>
    <row r="158" spans="1:6">
      <c r="A158">
        <v>666</v>
      </c>
      <c r="B158" t="s">
        <v>206</v>
      </c>
      <c r="C158" s="2">
        <v>2</v>
      </c>
      <c r="D158" s="1">
        <v>0</v>
      </c>
      <c r="E158" s="1">
        <v>76.699150102250286</v>
      </c>
      <c r="F158" s="1">
        <v>48.460216900369559</v>
      </c>
    </row>
    <row r="159" spans="1:6">
      <c r="A159">
        <v>670</v>
      </c>
      <c r="B159" t="s">
        <v>207</v>
      </c>
      <c r="C159" s="2">
        <v>4</v>
      </c>
      <c r="D159" s="1">
        <v>0</v>
      </c>
      <c r="E159" s="1">
        <v>18.045686319089072</v>
      </c>
      <c r="F159" s="1">
        <v>2.9309887850104133E-14</v>
      </c>
    </row>
    <row r="160" spans="1:6">
      <c r="A160">
        <v>678</v>
      </c>
      <c r="B160" t="s">
        <v>208</v>
      </c>
      <c r="C160" s="2">
        <v>8</v>
      </c>
      <c r="D160" s="1">
        <v>0</v>
      </c>
      <c r="E160" s="1">
        <v>0</v>
      </c>
      <c r="F160" s="1">
        <v>13.475292902069082</v>
      </c>
    </row>
    <row r="161" spans="1:6">
      <c r="A161">
        <v>682</v>
      </c>
      <c r="B161" t="s">
        <v>209</v>
      </c>
      <c r="C161" s="2">
        <v>17</v>
      </c>
      <c r="D161" s="1">
        <v>21.343499999999999</v>
      </c>
      <c r="E161" s="1">
        <v>0</v>
      </c>
      <c r="F161" s="1">
        <v>6.9722005946459831E-14</v>
      </c>
    </row>
    <row r="162" spans="1:6">
      <c r="A162">
        <v>686</v>
      </c>
      <c r="B162" t="s">
        <v>210</v>
      </c>
      <c r="C162" s="2">
        <v>8</v>
      </c>
      <c r="D162" s="1">
        <v>0</v>
      </c>
      <c r="E162" s="1">
        <v>1.9075791075762016</v>
      </c>
      <c r="F162" s="1">
        <v>77.417406401771913</v>
      </c>
    </row>
    <row r="163" spans="1:6">
      <c r="A163">
        <v>694</v>
      </c>
      <c r="B163" t="s">
        <v>211</v>
      </c>
      <c r="C163" s="2">
        <v>8</v>
      </c>
      <c r="D163" s="1">
        <v>0</v>
      </c>
      <c r="E163" s="1">
        <v>3.4742898311875728E-2</v>
      </c>
      <c r="F163" s="1">
        <v>31.391408968010985</v>
      </c>
    </row>
    <row r="164" spans="1:6">
      <c r="A164">
        <v>702</v>
      </c>
      <c r="B164" t="s">
        <v>212</v>
      </c>
      <c r="C164" s="2">
        <v>21</v>
      </c>
      <c r="D164" s="1">
        <v>0</v>
      </c>
      <c r="E164" s="1">
        <v>0</v>
      </c>
      <c r="F164" s="1">
        <v>0</v>
      </c>
    </row>
    <row r="165" spans="1:6">
      <c r="A165">
        <v>703</v>
      </c>
      <c r="B165" t="s">
        <v>213</v>
      </c>
      <c r="C165" s="2">
        <v>12</v>
      </c>
      <c r="D165" s="1">
        <v>33</v>
      </c>
      <c r="E165" s="1">
        <v>23.377780000000019</v>
      </c>
      <c r="F165" s="1">
        <v>8.0158102377936302E-14</v>
      </c>
    </row>
    <row r="166" spans="1:6">
      <c r="A166">
        <v>704</v>
      </c>
      <c r="B166" t="s">
        <v>214</v>
      </c>
      <c r="C166" s="2">
        <v>21</v>
      </c>
      <c r="D166" s="1">
        <v>0</v>
      </c>
      <c r="E166" s="1">
        <v>30.020312993926403</v>
      </c>
      <c r="F166" s="1">
        <v>26.040716934584886</v>
      </c>
    </row>
    <row r="167" spans="1:6">
      <c r="A167">
        <v>705</v>
      </c>
      <c r="B167" t="s">
        <v>215</v>
      </c>
      <c r="C167" s="2">
        <v>12</v>
      </c>
      <c r="D167" s="1">
        <v>35</v>
      </c>
      <c r="E167" s="1">
        <v>5.6843418860808015E-14</v>
      </c>
      <c r="F167" s="1">
        <v>1.318944953254686E-13</v>
      </c>
    </row>
    <row r="168" spans="1:6">
      <c r="A168">
        <v>706</v>
      </c>
      <c r="B168" t="s">
        <v>216</v>
      </c>
      <c r="C168" s="2">
        <v>9</v>
      </c>
      <c r="D168" s="1">
        <v>0</v>
      </c>
      <c r="E168" s="1">
        <v>0</v>
      </c>
      <c r="F168" s="1">
        <v>2.0951532348699446</v>
      </c>
    </row>
    <row r="169" spans="1:6">
      <c r="A169">
        <v>710</v>
      </c>
      <c r="B169" t="s">
        <v>217</v>
      </c>
      <c r="C169" s="2">
        <v>10</v>
      </c>
      <c r="D169" s="1">
        <v>26.55</v>
      </c>
      <c r="E169" s="1">
        <v>63.22637084998118</v>
      </c>
      <c r="F169" s="1">
        <v>47.447896888888906</v>
      </c>
    </row>
    <row r="170" spans="1:6">
      <c r="A170">
        <v>716</v>
      </c>
      <c r="B170" t="s">
        <v>218</v>
      </c>
      <c r="C170" s="2">
        <v>26</v>
      </c>
      <c r="D170" s="1">
        <v>0</v>
      </c>
      <c r="E170" s="1">
        <v>0</v>
      </c>
      <c r="F170" s="1">
        <v>67.611223999999993</v>
      </c>
    </row>
    <row r="171" spans="1:6">
      <c r="A171">
        <v>724</v>
      </c>
      <c r="B171" t="s">
        <v>219</v>
      </c>
      <c r="C171" s="2">
        <v>11</v>
      </c>
      <c r="D171" s="1">
        <v>33</v>
      </c>
      <c r="E171" s="1">
        <v>8.5965111111111128</v>
      </c>
      <c r="F171" s="1">
        <v>2.6645352591003757E-14</v>
      </c>
    </row>
    <row r="172" spans="1:6">
      <c r="A172">
        <v>732</v>
      </c>
      <c r="B172" t="s">
        <v>220</v>
      </c>
      <c r="C172" s="2">
        <v>7</v>
      </c>
      <c r="D172" s="1">
        <v>28.708025213505259</v>
      </c>
      <c r="E172" s="1">
        <v>76.998074187892712</v>
      </c>
      <c r="F172" s="1">
        <v>7.460698725481052E-14</v>
      </c>
    </row>
    <row r="173" spans="1:6">
      <c r="A173">
        <v>736</v>
      </c>
      <c r="B173" t="s">
        <v>221</v>
      </c>
      <c r="C173" s="2">
        <v>9</v>
      </c>
      <c r="D173" s="1">
        <v>0</v>
      </c>
      <c r="E173" s="1">
        <v>18.986654661531261</v>
      </c>
      <c r="F173" s="1">
        <v>9.9475983006414026E-14</v>
      </c>
    </row>
    <row r="174" spans="1:6">
      <c r="A174">
        <v>740</v>
      </c>
      <c r="B174" t="s">
        <v>222</v>
      </c>
      <c r="C174" s="2">
        <v>6</v>
      </c>
      <c r="D174" s="1">
        <v>0</v>
      </c>
      <c r="E174" s="1">
        <v>4.8642368247915595</v>
      </c>
      <c r="F174" s="1">
        <v>7.1054273576010019E-15</v>
      </c>
    </row>
    <row r="175" spans="1:6">
      <c r="A175">
        <v>748</v>
      </c>
      <c r="B175" t="s">
        <v>223</v>
      </c>
      <c r="C175" s="2">
        <v>26</v>
      </c>
      <c r="D175" s="1">
        <v>0</v>
      </c>
      <c r="E175" s="1">
        <v>12.811923344528234</v>
      </c>
      <c r="F175" s="1">
        <v>18.181245158308272</v>
      </c>
    </row>
    <row r="176" spans="1:6">
      <c r="A176">
        <v>752</v>
      </c>
      <c r="B176" t="s">
        <v>224</v>
      </c>
      <c r="C176" s="2">
        <v>11</v>
      </c>
      <c r="D176" s="1">
        <v>4</v>
      </c>
      <c r="E176" s="1">
        <v>4.9515946898281982E-14</v>
      </c>
      <c r="F176" s="1">
        <v>3.4139358007223564E-14</v>
      </c>
    </row>
    <row r="177" spans="1:6">
      <c r="A177">
        <v>756</v>
      </c>
      <c r="B177" t="s">
        <v>225</v>
      </c>
      <c r="C177" s="2">
        <v>11</v>
      </c>
      <c r="D177" s="1">
        <v>20</v>
      </c>
      <c r="E177" s="1">
        <v>2.6645352591003757E-14</v>
      </c>
      <c r="F177" s="1">
        <v>2.6645352591003757E-14</v>
      </c>
    </row>
    <row r="178" spans="1:6">
      <c r="A178">
        <v>760</v>
      </c>
      <c r="B178" t="s">
        <v>226</v>
      </c>
      <c r="C178" s="2">
        <v>17</v>
      </c>
      <c r="D178" s="1">
        <v>0</v>
      </c>
      <c r="E178" s="1">
        <v>0</v>
      </c>
      <c r="F178" s="1">
        <v>10.402472090561544</v>
      </c>
    </row>
    <row r="179" spans="1:6">
      <c r="A179">
        <v>762</v>
      </c>
      <c r="B179" t="s">
        <v>227</v>
      </c>
      <c r="C179" s="2">
        <v>15</v>
      </c>
      <c r="D179" s="1">
        <v>0</v>
      </c>
      <c r="E179" s="1">
        <v>24.962112543833324</v>
      </c>
      <c r="F179" s="1">
        <v>77.181162000000015</v>
      </c>
    </row>
    <row r="180" spans="1:6">
      <c r="A180">
        <v>764</v>
      </c>
      <c r="B180" t="s">
        <v>228</v>
      </c>
      <c r="C180" s="2">
        <v>21</v>
      </c>
      <c r="D180" s="1">
        <v>0</v>
      </c>
      <c r="E180" s="1">
        <v>13.008867784610205</v>
      </c>
      <c r="F180" s="1">
        <v>4.8849813083506888E-14</v>
      </c>
    </row>
    <row r="181" spans="1:6">
      <c r="A181">
        <v>768</v>
      </c>
      <c r="B181" t="s">
        <v>229</v>
      </c>
      <c r="C181" s="2">
        <v>8</v>
      </c>
      <c r="D181" s="1">
        <v>0</v>
      </c>
      <c r="E181" s="1">
        <v>0.42841230278892484</v>
      </c>
      <c r="F181" s="1">
        <v>34.655751746396326</v>
      </c>
    </row>
    <row r="182" spans="1:6">
      <c r="A182">
        <v>776</v>
      </c>
      <c r="B182" t="s">
        <v>230</v>
      </c>
      <c r="C182" s="2">
        <v>24</v>
      </c>
      <c r="D182" s="1">
        <v>0</v>
      </c>
      <c r="E182" s="1">
        <v>10.290341685027538</v>
      </c>
      <c r="F182" s="1">
        <v>29.289103326663341</v>
      </c>
    </row>
    <row r="183" spans="1:6">
      <c r="A183">
        <v>780</v>
      </c>
      <c r="B183" t="s">
        <v>231</v>
      </c>
      <c r="C183" s="2">
        <v>4</v>
      </c>
      <c r="D183" s="1">
        <v>0</v>
      </c>
      <c r="E183" s="1">
        <v>25.482150957047153</v>
      </c>
      <c r="F183" s="1">
        <v>4.5394835419016193</v>
      </c>
    </row>
    <row r="184" spans="1:6">
      <c r="A184">
        <v>784</v>
      </c>
      <c r="B184" t="s">
        <v>232</v>
      </c>
      <c r="C184" s="2">
        <v>17</v>
      </c>
      <c r="D184" s="1">
        <v>85.8</v>
      </c>
      <c r="E184" s="1">
        <v>43.458106666666687</v>
      </c>
      <c r="F184" s="1">
        <v>5.3734794391857577E-14</v>
      </c>
    </row>
    <row r="185" spans="1:6">
      <c r="A185">
        <v>788</v>
      </c>
      <c r="B185" t="s">
        <v>233</v>
      </c>
      <c r="C185" s="2">
        <v>7</v>
      </c>
      <c r="D185" s="1">
        <v>47.1</v>
      </c>
      <c r="E185" s="1">
        <v>75.945292297627361</v>
      </c>
      <c r="F185" s="1">
        <v>64.055463111111152</v>
      </c>
    </row>
    <row r="186" spans="1:6">
      <c r="A186">
        <v>792</v>
      </c>
      <c r="B186" t="s">
        <v>234</v>
      </c>
      <c r="C186" s="2">
        <v>13</v>
      </c>
      <c r="D186" s="1">
        <v>19.8</v>
      </c>
      <c r="E186" s="1">
        <v>32.273948888888896</v>
      </c>
      <c r="F186" s="1">
        <v>4.2965631052993558E-14</v>
      </c>
    </row>
    <row r="187" spans="1:6">
      <c r="A187">
        <v>795</v>
      </c>
      <c r="B187" t="s">
        <v>235</v>
      </c>
      <c r="C187" s="2">
        <v>15</v>
      </c>
      <c r="D187" s="1">
        <v>26.185991196041265</v>
      </c>
      <c r="E187" s="1">
        <v>11.901445319518391</v>
      </c>
      <c r="F187" s="1">
        <v>2.042810365310288E-14</v>
      </c>
    </row>
    <row r="188" spans="1:6">
      <c r="A188">
        <v>796</v>
      </c>
      <c r="B188" t="s">
        <v>236</v>
      </c>
      <c r="C188" s="2">
        <v>4</v>
      </c>
      <c r="D188" s="1">
        <v>0</v>
      </c>
      <c r="E188" s="1">
        <v>2.6645352591003757E-14</v>
      </c>
      <c r="F188" s="1">
        <v>9.2370555648813024E-14</v>
      </c>
    </row>
    <row r="189" spans="1:6">
      <c r="A189">
        <v>800</v>
      </c>
      <c r="B189" t="s">
        <v>237</v>
      </c>
      <c r="C189" s="2">
        <v>9</v>
      </c>
      <c r="D189" s="1">
        <v>0</v>
      </c>
      <c r="E189" s="1">
        <v>6.3286173540760711</v>
      </c>
      <c r="F189" s="1">
        <v>2.708944180085382E-14</v>
      </c>
    </row>
    <row r="190" spans="1:6">
      <c r="A190">
        <v>804</v>
      </c>
      <c r="B190" t="s">
        <v>238</v>
      </c>
      <c r="C190" s="2">
        <v>14</v>
      </c>
      <c r="D190" s="1">
        <v>18.948893360160966</v>
      </c>
      <c r="E190" s="1">
        <v>58.79534362295081</v>
      </c>
      <c r="F190" s="1">
        <v>40.502657362477251</v>
      </c>
    </row>
    <row r="191" spans="1:6">
      <c r="A191">
        <v>807</v>
      </c>
      <c r="B191" t="s">
        <v>239</v>
      </c>
      <c r="C191" s="2">
        <v>12</v>
      </c>
      <c r="D191" s="1">
        <v>0</v>
      </c>
      <c r="E191" s="1">
        <v>66.396801241453559</v>
      </c>
      <c r="F191" s="1">
        <v>3.5527136788005009E-14</v>
      </c>
    </row>
    <row r="192" spans="1:6">
      <c r="A192">
        <v>818</v>
      </c>
      <c r="B192" t="s">
        <v>240</v>
      </c>
      <c r="C192" s="2">
        <v>7</v>
      </c>
      <c r="D192" s="1">
        <v>18.899999999999999</v>
      </c>
      <c r="E192" s="1">
        <v>78.702669999999969</v>
      </c>
      <c r="F192" s="1">
        <v>0</v>
      </c>
    </row>
    <row r="193" spans="1:6">
      <c r="A193">
        <v>826</v>
      </c>
      <c r="B193" t="s">
        <v>241</v>
      </c>
      <c r="C193" s="2">
        <v>11</v>
      </c>
      <c r="D193" s="1">
        <v>45</v>
      </c>
      <c r="E193" s="1">
        <v>5.9219122661158252E-15</v>
      </c>
      <c r="F193" s="1">
        <v>5.9219122661158252E-15</v>
      </c>
    </row>
    <row r="194" spans="1:6">
      <c r="A194">
        <v>834</v>
      </c>
      <c r="B194" t="s">
        <v>242</v>
      </c>
      <c r="C194" s="2">
        <v>26</v>
      </c>
      <c r="D194" s="1">
        <v>0</v>
      </c>
      <c r="E194" s="1">
        <v>11.130096536454584</v>
      </c>
      <c r="F194" s="1">
        <v>45.793987333333355</v>
      </c>
    </row>
    <row r="195" spans="1:6">
      <c r="A195">
        <v>840</v>
      </c>
      <c r="B195" t="s">
        <v>243</v>
      </c>
      <c r="C195" s="2">
        <v>2</v>
      </c>
      <c r="D195" s="1">
        <v>35.324100000000001</v>
      </c>
      <c r="E195" s="1">
        <v>2.8027640284234892</v>
      </c>
      <c r="F195" s="1">
        <v>5.7065463465733046E-14</v>
      </c>
    </row>
    <row r="196" spans="1:6">
      <c r="A196">
        <v>850</v>
      </c>
      <c r="B196" t="s">
        <v>244</v>
      </c>
      <c r="C196" s="2">
        <v>4</v>
      </c>
      <c r="D196" s="1">
        <v>0</v>
      </c>
      <c r="E196" s="1">
        <v>38.122590984828385</v>
      </c>
      <c r="F196" s="1">
        <v>2.5426677495336563</v>
      </c>
    </row>
    <row r="197" spans="1:6">
      <c r="A197">
        <v>854</v>
      </c>
      <c r="B197" t="s">
        <v>245</v>
      </c>
      <c r="C197" s="2">
        <v>8</v>
      </c>
      <c r="D197" s="1">
        <v>0</v>
      </c>
      <c r="E197" s="1">
        <v>0.63753019169448344</v>
      </c>
      <c r="F197" s="1">
        <v>60.034025510694612</v>
      </c>
    </row>
    <row r="198" spans="1:6">
      <c r="A198">
        <v>858</v>
      </c>
      <c r="B198" t="s">
        <v>246</v>
      </c>
      <c r="C198" s="2">
        <v>6</v>
      </c>
      <c r="D198" s="1">
        <v>17.218697033075234</v>
      </c>
      <c r="E198" s="1">
        <v>50.233854619536615</v>
      </c>
      <c r="F198" s="1">
        <v>62.182579375796671</v>
      </c>
    </row>
    <row r="199" spans="1:6">
      <c r="A199">
        <v>860</v>
      </c>
      <c r="B199" t="s">
        <v>247</v>
      </c>
      <c r="C199" s="2">
        <v>15</v>
      </c>
      <c r="D199" s="1">
        <v>0</v>
      </c>
      <c r="E199" s="1">
        <v>48.930072805073486</v>
      </c>
      <c r="F199" s="1">
        <v>47.059393592060552</v>
      </c>
    </row>
    <row r="200" spans="1:6">
      <c r="A200">
        <v>862</v>
      </c>
      <c r="B200" t="s">
        <v>248</v>
      </c>
      <c r="C200" s="2">
        <v>6</v>
      </c>
      <c r="D200" s="1">
        <v>4.0018073359199455</v>
      </c>
      <c r="E200" s="1">
        <v>42.907278185057407</v>
      </c>
      <c r="F200" s="1">
        <v>15.457131705263702</v>
      </c>
    </row>
    <row r="201" spans="1:6">
      <c r="A201">
        <v>882</v>
      </c>
      <c r="B201" t="s">
        <v>249</v>
      </c>
      <c r="C201" s="2">
        <v>24</v>
      </c>
      <c r="D201" s="1">
        <v>0</v>
      </c>
      <c r="E201" s="1">
        <v>8.5463728088690676</v>
      </c>
      <c r="F201" s="1">
        <v>30.778257445605021</v>
      </c>
    </row>
    <row r="202" spans="1:6">
      <c r="A202">
        <v>887</v>
      </c>
      <c r="B202" t="s">
        <v>250</v>
      </c>
      <c r="C202" s="2">
        <v>17</v>
      </c>
      <c r="D202" s="1">
        <v>0</v>
      </c>
      <c r="E202" s="1">
        <v>0</v>
      </c>
      <c r="F202" s="1">
        <v>56.646918666666629</v>
      </c>
    </row>
    <row r="203" spans="1:6">
      <c r="A203">
        <v>891</v>
      </c>
      <c r="B203" t="s">
        <v>251</v>
      </c>
      <c r="C203" s="2">
        <v>12</v>
      </c>
      <c r="D203" s="1">
        <v>7.4</v>
      </c>
      <c r="E203" s="1">
        <v>44.360695342962408</v>
      </c>
      <c r="F203" s="1">
        <v>68.275006731140394</v>
      </c>
    </row>
    <row r="204" spans="1:6">
      <c r="A204">
        <v>894</v>
      </c>
      <c r="B204" t="s">
        <v>252</v>
      </c>
      <c r="C204" s="2">
        <v>26</v>
      </c>
      <c r="D204" s="1">
        <v>0</v>
      </c>
      <c r="E204" s="1">
        <v>16.978530330091019</v>
      </c>
      <c r="F204" s="1">
        <v>0</v>
      </c>
    </row>
  </sheetData>
  <pageMargins left="0.7" right="0.7" top="0.75" bottom="0.75" header="0.3" footer="0.3"/>
  <customProperties>
    <customPr name="EpmWorksheetKeyString_GUID" r:id="rId1"/>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227F2-96E9-4DF7-A80C-D1C1A6DCFCF6}">
  <dimension ref="A1:F204"/>
  <sheetViews>
    <sheetView workbookViewId="0"/>
  </sheetViews>
  <sheetFormatPr defaultRowHeight="15"/>
  <sheetData>
    <row r="1" spans="1:6">
      <c r="A1" t="s">
        <v>44</v>
      </c>
      <c r="B1" t="s">
        <v>265</v>
      </c>
      <c r="C1" t="s">
        <v>46</v>
      </c>
    </row>
    <row r="2" spans="1:6">
      <c r="A2" t="s">
        <v>44</v>
      </c>
      <c r="B2" t="s">
        <v>33</v>
      </c>
    </row>
    <row r="3" spans="1:6">
      <c r="A3" t="s">
        <v>44</v>
      </c>
      <c r="D3" t="s">
        <v>272</v>
      </c>
      <c r="E3" t="s">
        <v>273</v>
      </c>
      <c r="F3" t="s">
        <v>274</v>
      </c>
    </row>
    <row r="4" spans="1:6">
      <c r="A4" t="s">
        <v>50</v>
      </c>
      <c r="B4" t="s">
        <v>51</v>
      </c>
      <c r="C4" t="s">
        <v>52</v>
      </c>
      <c r="D4">
        <v>2010</v>
      </c>
      <c r="E4">
        <v>2050</v>
      </c>
      <c r="F4">
        <v>2100</v>
      </c>
    </row>
    <row r="5" spans="1:6">
      <c r="A5">
        <v>4</v>
      </c>
      <c r="B5" t="s">
        <v>53</v>
      </c>
      <c r="C5" s="2">
        <v>25</v>
      </c>
      <c r="D5" s="1">
        <v>0</v>
      </c>
      <c r="E5" s="1">
        <v>0</v>
      </c>
      <c r="F5" s="1">
        <v>47.761996041024759</v>
      </c>
    </row>
    <row r="6" spans="1:6">
      <c r="A6">
        <v>8</v>
      </c>
      <c r="B6" t="s">
        <v>54</v>
      </c>
      <c r="C6" s="2">
        <v>12</v>
      </c>
      <c r="D6" s="1">
        <v>0</v>
      </c>
      <c r="E6" s="1">
        <v>1</v>
      </c>
      <c r="F6" s="1">
        <v>27.947956222222089</v>
      </c>
    </row>
    <row r="7" spans="1:6">
      <c r="A7">
        <v>12</v>
      </c>
      <c r="B7" t="s">
        <v>55</v>
      </c>
      <c r="C7" s="2">
        <v>7</v>
      </c>
      <c r="D7" s="1">
        <v>0</v>
      </c>
      <c r="E7" s="1">
        <v>0</v>
      </c>
      <c r="F7" s="1">
        <v>5.1188604444444259</v>
      </c>
    </row>
    <row r="8" spans="1:6">
      <c r="A8">
        <v>16</v>
      </c>
      <c r="B8" t="s">
        <v>56</v>
      </c>
      <c r="C8" s="2">
        <v>24</v>
      </c>
      <c r="D8" s="1">
        <v>0</v>
      </c>
      <c r="E8" s="1">
        <v>37.265689758681766</v>
      </c>
      <c r="F8" s="1">
        <v>98.403999999999684</v>
      </c>
    </row>
    <row r="9" spans="1:6">
      <c r="A9">
        <v>20</v>
      </c>
      <c r="B9" t="s">
        <v>57</v>
      </c>
      <c r="C9" s="2">
        <v>11</v>
      </c>
      <c r="D9" s="1">
        <v>0</v>
      </c>
      <c r="E9" s="1">
        <v>57.716037880317018</v>
      </c>
      <c r="F9" s="1">
        <v>99.999999999999901</v>
      </c>
    </row>
    <row r="10" spans="1:6">
      <c r="A10">
        <v>24</v>
      </c>
      <c r="B10" t="s">
        <v>58</v>
      </c>
      <c r="C10" s="2">
        <v>26</v>
      </c>
      <c r="D10" s="1">
        <v>0</v>
      </c>
      <c r="E10" s="1">
        <v>0</v>
      </c>
      <c r="F10" s="1">
        <v>3.932667395394593</v>
      </c>
    </row>
    <row r="11" spans="1:6">
      <c r="A11">
        <v>31</v>
      </c>
      <c r="B11" t="s">
        <v>59</v>
      </c>
      <c r="C11" s="2">
        <v>16</v>
      </c>
      <c r="D11" s="1">
        <v>0</v>
      </c>
      <c r="E11" s="1">
        <v>0</v>
      </c>
      <c r="F11" s="1">
        <v>30.303371418717052</v>
      </c>
    </row>
    <row r="12" spans="1:6">
      <c r="A12">
        <v>32</v>
      </c>
      <c r="B12" t="s">
        <v>60</v>
      </c>
      <c r="C12" s="2">
        <v>6</v>
      </c>
      <c r="D12" s="1">
        <v>0</v>
      </c>
      <c r="E12" s="1">
        <v>0</v>
      </c>
      <c r="F12" s="1">
        <v>29.512585911855666</v>
      </c>
    </row>
    <row r="13" spans="1:6">
      <c r="A13">
        <v>36</v>
      </c>
      <c r="B13" t="s">
        <v>61</v>
      </c>
      <c r="C13" s="2">
        <v>24</v>
      </c>
      <c r="D13" s="1">
        <v>36.958500000000001</v>
      </c>
      <c r="E13" s="1">
        <v>67.018578823529396</v>
      </c>
      <c r="F13" s="1">
        <v>98.839499999999788</v>
      </c>
    </row>
    <row r="14" spans="1:6">
      <c r="A14">
        <v>40</v>
      </c>
      <c r="B14" t="s">
        <v>62</v>
      </c>
      <c r="C14" s="2">
        <v>11</v>
      </c>
      <c r="D14" s="1">
        <v>92.6</v>
      </c>
      <c r="E14" s="1">
        <v>92.492492492492474</v>
      </c>
      <c r="F14" s="1">
        <v>94.168499999999625</v>
      </c>
    </row>
    <row r="15" spans="1:6">
      <c r="A15">
        <v>44</v>
      </c>
      <c r="B15" t="s">
        <v>63</v>
      </c>
      <c r="C15" s="2">
        <v>4</v>
      </c>
      <c r="D15" s="1">
        <v>0</v>
      </c>
      <c r="E15" s="1">
        <v>12.214917517522061</v>
      </c>
      <c r="F15" s="1">
        <v>47.699359105615798</v>
      </c>
    </row>
    <row r="16" spans="1:6">
      <c r="A16">
        <v>48</v>
      </c>
      <c r="B16" t="s">
        <v>64</v>
      </c>
      <c r="C16" s="2">
        <v>17</v>
      </c>
      <c r="D16" s="1">
        <v>84.4</v>
      </c>
      <c r="E16" s="1">
        <v>96.377999999999986</v>
      </c>
      <c r="F16" s="1">
        <v>96.377999999999986</v>
      </c>
    </row>
    <row r="17" spans="1:6">
      <c r="A17">
        <v>50</v>
      </c>
      <c r="B17" t="s">
        <v>65</v>
      </c>
      <c r="C17" s="2">
        <v>25</v>
      </c>
      <c r="D17" s="1">
        <v>0</v>
      </c>
      <c r="E17" s="1">
        <v>4.9343245538895839E-16</v>
      </c>
      <c r="F17" s="1">
        <v>4.103471981274593</v>
      </c>
    </row>
    <row r="18" spans="1:6">
      <c r="A18">
        <v>51</v>
      </c>
      <c r="B18" t="s">
        <v>66</v>
      </c>
      <c r="C18" s="2">
        <v>16</v>
      </c>
      <c r="D18" s="1">
        <v>0</v>
      </c>
      <c r="E18" s="1">
        <v>0</v>
      </c>
      <c r="F18" s="1">
        <v>1.9737298215558338E-14</v>
      </c>
    </row>
    <row r="19" spans="1:6">
      <c r="A19">
        <v>52</v>
      </c>
      <c r="B19" t="s">
        <v>67</v>
      </c>
      <c r="C19" s="2">
        <v>4</v>
      </c>
      <c r="D19" s="1">
        <v>0</v>
      </c>
      <c r="E19" s="1">
        <v>9.4814588810187885</v>
      </c>
      <c r="F19" s="1">
        <v>25.92003573209611</v>
      </c>
    </row>
    <row r="20" spans="1:6">
      <c r="A20">
        <v>56</v>
      </c>
      <c r="B20" t="s">
        <v>68</v>
      </c>
      <c r="C20" s="2">
        <v>11</v>
      </c>
      <c r="D20" s="1">
        <v>66.400000000000006</v>
      </c>
      <c r="E20" s="1">
        <v>99.16249999999998</v>
      </c>
      <c r="F20" s="1">
        <v>99.516499999999994</v>
      </c>
    </row>
    <row r="21" spans="1:6">
      <c r="A21">
        <v>64</v>
      </c>
      <c r="B21" t="s">
        <v>69</v>
      </c>
      <c r="C21" s="2">
        <v>25</v>
      </c>
      <c r="D21" s="1">
        <v>0</v>
      </c>
      <c r="E21" s="1">
        <v>14.049807546405473</v>
      </c>
      <c r="F21" s="1">
        <v>73.067288606504007</v>
      </c>
    </row>
    <row r="22" spans="1:6">
      <c r="A22">
        <v>68</v>
      </c>
      <c r="B22" t="s">
        <v>70</v>
      </c>
      <c r="C22" s="2">
        <v>6</v>
      </c>
      <c r="D22" s="1">
        <v>0</v>
      </c>
      <c r="E22" s="1">
        <v>3.9474596431116671E-15</v>
      </c>
      <c r="F22" s="1">
        <v>78.648135555555456</v>
      </c>
    </row>
    <row r="23" spans="1:6">
      <c r="A23">
        <v>70</v>
      </c>
      <c r="B23" t="s">
        <v>71</v>
      </c>
      <c r="C23" s="2">
        <v>12</v>
      </c>
      <c r="D23" s="1">
        <v>0.62</v>
      </c>
      <c r="E23" s="1">
        <v>1.1100000000000001</v>
      </c>
      <c r="F23" s="1">
        <v>23.532792444444276</v>
      </c>
    </row>
    <row r="24" spans="1:6">
      <c r="A24">
        <v>72</v>
      </c>
      <c r="B24" t="s">
        <v>72</v>
      </c>
      <c r="C24" s="2">
        <v>26</v>
      </c>
      <c r="D24" s="1">
        <v>0</v>
      </c>
      <c r="E24" s="1">
        <v>6.0553779071720131</v>
      </c>
      <c r="F24" s="1">
        <v>16.097478144421512</v>
      </c>
    </row>
    <row r="25" spans="1:6">
      <c r="A25">
        <v>76</v>
      </c>
      <c r="B25" t="s">
        <v>73</v>
      </c>
      <c r="C25" s="2">
        <v>5</v>
      </c>
      <c r="D25" s="1">
        <v>2.2077</v>
      </c>
      <c r="E25" s="1">
        <v>3.2471999999999999</v>
      </c>
      <c r="F25" s="1">
        <v>20.153393333333234</v>
      </c>
    </row>
    <row r="26" spans="1:6">
      <c r="A26">
        <v>84</v>
      </c>
      <c r="B26" t="s">
        <v>74</v>
      </c>
      <c r="C26" s="2">
        <v>4</v>
      </c>
      <c r="D26" s="1">
        <v>0</v>
      </c>
      <c r="E26" s="1">
        <v>3.8351606093991242</v>
      </c>
      <c r="F26" s="1">
        <v>67.059079116465767</v>
      </c>
    </row>
    <row r="27" spans="1:6">
      <c r="A27">
        <v>90</v>
      </c>
      <c r="B27" t="s">
        <v>75</v>
      </c>
      <c r="C27" s="2">
        <v>24</v>
      </c>
      <c r="D27" s="1">
        <v>0</v>
      </c>
      <c r="E27" s="1">
        <v>0</v>
      </c>
      <c r="F27" s="1">
        <v>1.9737298215558335E-14</v>
      </c>
    </row>
    <row r="28" spans="1:6">
      <c r="A28">
        <v>96</v>
      </c>
      <c r="B28" t="s">
        <v>76</v>
      </c>
      <c r="C28" s="2">
        <v>21</v>
      </c>
      <c r="D28" s="1">
        <v>0</v>
      </c>
      <c r="E28" s="1">
        <v>32.651653333333314</v>
      </c>
      <c r="F28" s="1">
        <v>95.299999999999969</v>
      </c>
    </row>
    <row r="29" spans="1:6">
      <c r="A29">
        <v>100</v>
      </c>
      <c r="B29" t="s">
        <v>77</v>
      </c>
      <c r="C29" s="2">
        <v>12</v>
      </c>
      <c r="D29" s="1">
        <v>26.8</v>
      </c>
      <c r="E29" s="1">
        <v>82.006691111111095</v>
      </c>
      <c r="F29" s="1">
        <v>95.001999999999484</v>
      </c>
    </row>
    <row r="30" spans="1:6">
      <c r="A30">
        <v>104</v>
      </c>
      <c r="B30" t="s">
        <v>78</v>
      </c>
      <c r="C30" s="2">
        <v>21</v>
      </c>
      <c r="D30" s="1">
        <v>0</v>
      </c>
      <c r="E30" s="1">
        <v>0</v>
      </c>
      <c r="F30" s="1">
        <v>7.2237420237394341</v>
      </c>
    </row>
    <row r="31" spans="1:6">
      <c r="A31">
        <v>108</v>
      </c>
      <c r="B31" t="s">
        <v>79</v>
      </c>
      <c r="C31" s="2">
        <v>9</v>
      </c>
      <c r="D31" s="1">
        <v>0</v>
      </c>
      <c r="E31" s="1">
        <v>0</v>
      </c>
      <c r="F31" s="1">
        <v>3.0557975988021089</v>
      </c>
    </row>
    <row r="32" spans="1:6">
      <c r="A32">
        <v>112</v>
      </c>
      <c r="B32" t="s">
        <v>80</v>
      </c>
      <c r="C32" s="2">
        <v>14</v>
      </c>
      <c r="D32" s="1">
        <v>16.822600000000001</v>
      </c>
      <c r="E32" s="1">
        <v>39.583211111111112</v>
      </c>
      <c r="F32" s="1">
        <v>96.967499999999703</v>
      </c>
    </row>
    <row r="33" spans="1:6">
      <c r="A33">
        <v>116</v>
      </c>
      <c r="B33" t="s">
        <v>81</v>
      </c>
      <c r="C33" s="2">
        <v>21</v>
      </c>
      <c r="D33" s="1">
        <v>0</v>
      </c>
      <c r="E33" s="1">
        <v>0</v>
      </c>
      <c r="F33" s="1">
        <v>23.434277333333327</v>
      </c>
    </row>
    <row r="34" spans="1:6">
      <c r="A34">
        <v>120</v>
      </c>
      <c r="B34" t="s">
        <v>82</v>
      </c>
      <c r="C34" s="2">
        <v>8</v>
      </c>
      <c r="D34" s="1">
        <v>0</v>
      </c>
      <c r="E34" s="1">
        <v>1.0485439677015366E-15</v>
      </c>
      <c r="F34" s="1">
        <v>7.8949192862233342E-15</v>
      </c>
    </row>
    <row r="35" spans="1:6">
      <c r="A35">
        <v>124</v>
      </c>
      <c r="B35" t="s">
        <v>83</v>
      </c>
      <c r="C35" s="2">
        <v>1</v>
      </c>
      <c r="D35" s="1">
        <v>12.321428571428571</v>
      </c>
      <c r="E35" s="1">
        <v>28.573756857714379</v>
      </c>
      <c r="F35" s="1">
        <v>98.178499999999801</v>
      </c>
    </row>
    <row r="36" spans="1:6">
      <c r="A36">
        <v>132</v>
      </c>
      <c r="B36" t="s">
        <v>84</v>
      </c>
      <c r="C36" s="2">
        <v>8</v>
      </c>
      <c r="D36" s="1">
        <v>0</v>
      </c>
      <c r="E36" s="1">
        <v>0</v>
      </c>
      <c r="F36" s="1">
        <v>0</v>
      </c>
    </row>
    <row r="37" spans="1:6">
      <c r="A37">
        <v>140</v>
      </c>
      <c r="B37" t="s">
        <v>85</v>
      </c>
      <c r="C37" s="2">
        <v>8</v>
      </c>
      <c r="D37" s="1">
        <v>0</v>
      </c>
      <c r="E37" s="1">
        <v>0</v>
      </c>
      <c r="F37" s="1">
        <v>0</v>
      </c>
    </row>
    <row r="38" spans="1:6">
      <c r="A38">
        <v>144</v>
      </c>
      <c r="B38" t="s">
        <v>86</v>
      </c>
      <c r="C38" s="2">
        <v>25</v>
      </c>
      <c r="D38" s="1">
        <v>0</v>
      </c>
      <c r="E38" s="1">
        <v>8.1650799764450941</v>
      </c>
      <c r="F38" s="1">
        <v>52.151350351273365</v>
      </c>
    </row>
    <row r="39" spans="1:6">
      <c r="A39">
        <v>148</v>
      </c>
      <c r="B39" t="s">
        <v>87</v>
      </c>
      <c r="C39" s="2">
        <v>8</v>
      </c>
      <c r="D39" s="1">
        <v>0</v>
      </c>
      <c r="E39" s="1">
        <v>0</v>
      </c>
      <c r="F39" s="1">
        <v>0</v>
      </c>
    </row>
    <row r="40" spans="1:6">
      <c r="A40">
        <v>152</v>
      </c>
      <c r="B40" t="s">
        <v>88</v>
      </c>
      <c r="C40" s="2">
        <v>6</v>
      </c>
      <c r="D40" s="1">
        <v>19.366666666666667</v>
      </c>
      <c r="E40" s="1">
        <v>23.900000000000002</v>
      </c>
      <c r="F40" s="1">
        <v>98.152173333333252</v>
      </c>
    </row>
    <row r="41" spans="1:6">
      <c r="A41">
        <v>156</v>
      </c>
      <c r="B41" t="s">
        <v>89</v>
      </c>
      <c r="C41" s="2">
        <v>20</v>
      </c>
      <c r="D41" s="1">
        <v>0</v>
      </c>
      <c r="E41" s="1">
        <v>56.374737777777753</v>
      </c>
      <c r="F41" s="1">
        <v>90.391999999999641</v>
      </c>
    </row>
    <row r="42" spans="1:6">
      <c r="A42">
        <v>158</v>
      </c>
      <c r="B42" t="s">
        <v>90</v>
      </c>
      <c r="C42" s="2">
        <v>20</v>
      </c>
      <c r="D42" s="1">
        <v>0</v>
      </c>
      <c r="E42" s="1">
        <v>86.614999999999611</v>
      </c>
      <c r="F42" s="1">
        <v>92.076499999999456</v>
      </c>
    </row>
    <row r="43" spans="1:6">
      <c r="A43">
        <v>170</v>
      </c>
      <c r="B43" t="s">
        <v>91</v>
      </c>
      <c r="C43" s="2">
        <v>6</v>
      </c>
      <c r="D43" s="1">
        <v>0</v>
      </c>
      <c r="E43" s="1">
        <v>3.9474596431116671E-15</v>
      </c>
      <c r="F43" s="1">
        <v>36.510630222222161</v>
      </c>
    </row>
    <row r="44" spans="1:6">
      <c r="A44">
        <v>174</v>
      </c>
      <c r="B44" t="s">
        <v>92</v>
      </c>
      <c r="C44" s="2">
        <v>9</v>
      </c>
      <c r="D44" s="1">
        <v>0</v>
      </c>
      <c r="E44" s="1">
        <v>0</v>
      </c>
      <c r="F44" s="1">
        <v>82.869521421024373</v>
      </c>
    </row>
    <row r="45" spans="1:6">
      <c r="A45">
        <v>178</v>
      </c>
      <c r="B45" t="s">
        <v>93</v>
      </c>
      <c r="C45" s="2">
        <v>8</v>
      </c>
      <c r="D45" s="1">
        <v>0</v>
      </c>
      <c r="E45" s="1">
        <v>7.2596298770717631</v>
      </c>
      <c r="F45" s="1">
        <v>84.073234366203607</v>
      </c>
    </row>
    <row r="46" spans="1:6">
      <c r="A46">
        <v>180</v>
      </c>
      <c r="B46" t="s">
        <v>94</v>
      </c>
      <c r="C46" s="2">
        <v>8</v>
      </c>
      <c r="D46" s="1">
        <v>0</v>
      </c>
      <c r="E46" s="1">
        <v>0</v>
      </c>
      <c r="F46" s="1">
        <v>1.1842378929335002E-14</v>
      </c>
    </row>
    <row r="47" spans="1:6">
      <c r="A47">
        <v>188</v>
      </c>
      <c r="B47" t="s">
        <v>95</v>
      </c>
      <c r="C47" s="2">
        <v>4</v>
      </c>
      <c r="D47" s="1">
        <v>0</v>
      </c>
      <c r="E47" s="1">
        <v>22.862051918069024</v>
      </c>
      <c r="F47" s="1">
        <v>71.438974418392078</v>
      </c>
    </row>
    <row r="48" spans="1:6">
      <c r="A48">
        <v>191</v>
      </c>
      <c r="B48" t="s">
        <v>96</v>
      </c>
      <c r="C48" s="2">
        <v>12</v>
      </c>
      <c r="D48" s="1">
        <v>0</v>
      </c>
      <c r="E48" s="1">
        <v>10.210904615474952</v>
      </c>
      <c r="F48" s="1">
        <v>67.436612547823685</v>
      </c>
    </row>
    <row r="49" spans="1:6">
      <c r="A49">
        <v>192</v>
      </c>
      <c r="B49" t="s">
        <v>97</v>
      </c>
      <c r="C49" s="2">
        <v>4</v>
      </c>
      <c r="D49" s="1">
        <v>0</v>
      </c>
      <c r="E49" s="1">
        <v>0</v>
      </c>
      <c r="F49" s="1">
        <v>1.1842378929335002E-14</v>
      </c>
    </row>
    <row r="50" spans="1:6">
      <c r="A50">
        <v>196</v>
      </c>
      <c r="B50" t="s">
        <v>98</v>
      </c>
      <c r="C50" s="2">
        <v>12</v>
      </c>
      <c r="D50" s="1">
        <v>0</v>
      </c>
      <c r="E50" s="1">
        <v>27.859214706053507</v>
      </c>
      <c r="F50" s="1">
        <v>94.51700000000001</v>
      </c>
    </row>
    <row r="51" spans="1:6">
      <c r="A51">
        <v>203</v>
      </c>
      <c r="B51" t="s">
        <v>99</v>
      </c>
      <c r="C51" s="2">
        <v>12</v>
      </c>
      <c r="D51" s="1">
        <v>68.2</v>
      </c>
      <c r="E51" s="1">
        <v>92.873499999999964</v>
      </c>
      <c r="F51" s="1">
        <v>96.635000000000005</v>
      </c>
    </row>
    <row r="52" spans="1:6">
      <c r="A52">
        <v>204</v>
      </c>
      <c r="B52" t="s">
        <v>100</v>
      </c>
      <c r="C52" s="2">
        <v>8</v>
      </c>
      <c r="D52" s="1">
        <v>0</v>
      </c>
      <c r="E52" s="1">
        <v>1.233581138472396E-16</v>
      </c>
      <c r="F52" s="1">
        <v>2.0970879354030731E-15</v>
      </c>
    </row>
    <row r="53" spans="1:6">
      <c r="A53">
        <v>208</v>
      </c>
      <c r="B53" t="s">
        <v>101</v>
      </c>
      <c r="C53" s="2">
        <v>11</v>
      </c>
      <c r="D53" s="1">
        <v>85.6</v>
      </c>
      <c r="E53" s="1">
        <v>95.918499999999966</v>
      </c>
      <c r="F53" s="1">
        <v>96.756999999999763</v>
      </c>
    </row>
    <row r="54" spans="1:6">
      <c r="A54">
        <v>212</v>
      </c>
      <c r="B54" t="s">
        <v>102</v>
      </c>
      <c r="C54" s="2">
        <v>4</v>
      </c>
      <c r="D54" s="1">
        <v>0</v>
      </c>
      <c r="E54" s="1">
        <v>20.471620653128923</v>
      </c>
      <c r="F54" s="1">
        <v>77.592617308598236</v>
      </c>
    </row>
    <row r="55" spans="1:6">
      <c r="A55">
        <v>214</v>
      </c>
      <c r="B55" t="s">
        <v>103</v>
      </c>
      <c r="C55" s="2">
        <v>4</v>
      </c>
      <c r="D55" s="1">
        <v>0</v>
      </c>
      <c r="E55" s="1">
        <v>24.361124853100613</v>
      </c>
      <c r="F55" s="1">
        <v>71.881187449465244</v>
      </c>
    </row>
    <row r="56" spans="1:6">
      <c r="A56">
        <v>218</v>
      </c>
      <c r="B56" t="s">
        <v>104</v>
      </c>
      <c r="C56" s="2">
        <v>6</v>
      </c>
      <c r="D56" s="1">
        <v>0</v>
      </c>
      <c r="E56" s="1">
        <v>0</v>
      </c>
      <c r="F56" s="1">
        <v>41.864202222222154</v>
      </c>
    </row>
    <row r="57" spans="1:6">
      <c r="A57">
        <v>222</v>
      </c>
      <c r="B57" t="s">
        <v>105</v>
      </c>
      <c r="C57" s="2">
        <v>4</v>
      </c>
      <c r="D57" s="1">
        <v>0</v>
      </c>
      <c r="E57" s="1">
        <v>0</v>
      </c>
      <c r="F57" s="1">
        <v>21.547236663438841</v>
      </c>
    </row>
    <row r="58" spans="1:6">
      <c r="A58">
        <v>226</v>
      </c>
      <c r="B58" t="s">
        <v>106</v>
      </c>
      <c r="C58" s="2">
        <v>8</v>
      </c>
      <c r="D58" s="1">
        <v>0</v>
      </c>
      <c r="E58" s="1">
        <v>0</v>
      </c>
      <c r="F58" s="1">
        <v>1.9737298215558335E-15</v>
      </c>
    </row>
    <row r="59" spans="1:6">
      <c r="A59">
        <v>231</v>
      </c>
      <c r="B59" t="s">
        <v>107</v>
      </c>
      <c r="C59" s="2">
        <v>9</v>
      </c>
      <c r="D59" s="1">
        <v>0</v>
      </c>
      <c r="E59" s="1">
        <v>1.9737298215558335E-15</v>
      </c>
      <c r="F59" s="1">
        <v>55.06612904324659</v>
      </c>
    </row>
    <row r="60" spans="1:6">
      <c r="A60">
        <v>232</v>
      </c>
      <c r="B60" t="s">
        <v>108</v>
      </c>
      <c r="C60" s="2">
        <v>9</v>
      </c>
      <c r="D60" s="1">
        <v>0</v>
      </c>
      <c r="E60" s="1">
        <v>0</v>
      </c>
      <c r="F60" s="1">
        <v>3.9474596431116671E-15</v>
      </c>
    </row>
    <row r="61" spans="1:6">
      <c r="A61">
        <v>233</v>
      </c>
      <c r="B61" t="s">
        <v>109</v>
      </c>
      <c r="C61" s="2">
        <v>12</v>
      </c>
      <c r="D61" s="1">
        <v>64.7</v>
      </c>
      <c r="E61" s="1">
        <v>90.436499999999967</v>
      </c>
      <c r="F61" s="1">
        <v>94.556499999999986</v>
      </c>
    </row>
    <row r="62" spans="1:6">
      <c r="A62">
        <v>234</v>
      </c>
      <c r="B62" t="s">
        <v>110</v>
      </c>
      <c r="C62" s="2">
        <v>11</v>
      </c>
      <c r="D62" s="1">
        <v>0</v>
      </c>
      <c r="E62" s="1">
        <v>53.452668704178066</v>
      </c>
      <c r="F62" s="1">
        <v>90.903242933895612</v>
      </c>
    </row>
    <row r="63" spans="1:6">
      <c r="A63">
        <v>238</v>
      </c>
      <c r="B63" t="s">
        <v>111</v>
      </c>
      <c r="C63" s="2">
        <v>6</v>
      </c>
      <c r="D63" s="1">
        <v>0</v>
      </c>
      <c r="E63" s="1">
        <v>0</v>
      </c>
      <c r="F63" s="1">
        <v>72.358030481343505</v>
      </c>
    </row>
    <row r="64" spans="1:6">
      <c r="A64">
        <v>242</v>
      </c>
      <c r="B64" t="s">
        <v>112</v>
      </c>
      <c r="C64" s="2">
        <v>24</v>
      </c>
      <c r="D64" s="1">
        <v>0</v>
      </c>
      <c r="E64" s="1">
        <v>0</v>
      </c>
      <c r="F64" s="1">
        <v>21.768493777777774</v>
      </c>
    </row>
    <row r="65" spans="1:6">
      <c r="A65">
        <v>246</v>
      </c>
      <c r="B65" t="s">
        <v>113</v>
      </c>
      <c r="C65" s="2">
        <v>11</v>
      </c>
      <c r="D65" s="1">
        <v>83</v>
      </c>
      <c r="E65" s="1">
        <v>96.000999999999806</v>
      </c>
      <c r="F65" s="1">
        <v>98.091499999999485</v>
      </c>
    </row>
    <row r="66" spans="1:6">
      <c r="A66">
        <v>250</v>
      </c>
      <c r="B66" t="s">
        <v>114</v>
      </c>
      <c r="C66" s="2">
        <v>11</v>
      </c>
      <c r="D66" s="1">
        <v>64.5</v>
      </c>
      <c r="E66" s="1">
        <v>93.618318498177544</v>
      </c>
      <c r="F66" s="1">
        <v>97.757999999999626</v>
      </c>
    </row>
    <row r="67" spans="1:6">
      <c r="A67">
        <v>254</v>
      </c>
      <c r="B67" t="s">
        <v>115</v>
      </c>
      <c r="C67" s="2">
        <v>6</v>
      </c>
      <c r="D67" s="1">
        <v>0</v>
      </c>
      <c r="E67" s="1">
        <v>0.37479197210319148</v>
      </c>
      <c r="F67" s="1">
        <v>78.082777454915089</v>
      </c>
    </row>
    <row r="68" spans="1:6">
      <c r="A68">
        <v>262</v>
      </c>
      <c r="B68" t="s">
        <v>116</v>
      </c>
      <c r="C68" s="2">
        <v>9</v>
      </c>
      <c r="D68" s="1">
        <v>0</v>
      </c>
      <c r="E68" s="1">
        <v>0</v>
      </c>
      <c r="F68" s="1">
        <v>87.742425657216259</v>
      </c>
    </row>
    <row r="69" spans="1:6">
      <c r="A69">
        <v>266</v>
      </c>
      <c r="B69" t="s">
        <v>117</v>
      </c>
      <c r="C69" s="2">
        <v>8</v>
      </c>
      <c r="D69" s="1">
        <v>0</v>
      </c>
      <c r="E69" s="1">
        <v>0</v>
      </c>
      <c r="F69" s="1">
        <v>0</v>
      </c>
    </row>
    <row r="70" spans="1:6">
      <c r="A70">
        <v>268</v>
      </c>
      <c r="B70" t="s">
        <v>118</v>
      </c>
      <c r="C70" s="2">
        <v>16</v>
      </c>
      <c r="D70" s="1">
        <v>0</v>
      </c>
      <c r="E70" s="1">
        <v>0</v>
      </c>
      <c r="F70" s="1">
        <v>0</v>
      </c>
    </row>
    <row r="71" spans="1:6">
      <c r="A71">
        <v>270</v>
      </c>
      <c r="B71" t="s">
        <v>119</v>
      </c>
      <c r="C71" s="2">
        <v>8</v>
      </c>
      <c r="D71" s="1">
        <v>0</v>
      </c>
      <c r="E71" s="1">
        <v>0</v>
      </c>
      <c r="F71" s="1">
        <v>0</v>
      </c>
    </row>
    <row r="72" spans="1:6">
      <c r="A72">
        <v>276</v>
      </c>
      <c r="B72" t="s">
        <v>120</v>
      </c>
      <c r="C72" s="2">
        <v>11</v>
      </c>
      <c r="D72" s="1">
        <v>92.6</v>
      </c>
      <c r="E72" s="1">
        <v>96.599999999999838</v>
      </c>
      <c r="F72" s="1">
        <v>96.787999999999826</v>
      </c>
    </row>
    <row r="73" spans="1:6">
      <c r="A73">
        <v>288</v>
      </c>
      <c r="B73" t="s">
        <v>121</v>
      </c>
      <c r="C73" s="2">
        <v>8</v>
      </c>
      <c r="D73" s="1">
        <v>0</v>
      </c>
      <c r="E73" s="1">
        <v>1.2335811384723959E-15</v>
      </c>
      <c r="F73" s="1">
        <v>8.6884669446008811</v>
      </c>
    </row>
    <row r="74" spans="1:6">
      <c r="A74">
        <v>300</v>
      </c>
      <c r="B74" t="s">
        <v>122</v>
      </c>
      <c r="C74" s="2">
        <v>11</v>
      </c>
      <c r="D74" s="1">
        <v>23.099999999999998</v>
      </c>
      <c r="E74" s="1">
        <v>82.922806666666673</v>
      </c>
      <c r="F74" s="1">
        <v>93.231999999999459</v>
      </c>
    </row>
    <row r="75" spans="1:6">
      <c r="A75">
        <v>304</v>
      </c>
      <c r="B75" t="s">
        <v>123</v>
      </c>
      <c r="C75" s="2">
        <v>27</v>
      </c>
      <c r="D75" s="1">
        <v>0</v>
      </c>
      <c r="E75" s="1">
        <v>48.425028995277927</v>
      </c>
      <c r="F75" s="1">
        <v>95.651499999999487</v>
      </c>
    </row>
    <row r="76" spans="1:6">
      <c r="A76">
        <v>308</v>
      </c>
      <c r="B76" t="s">
        <v>124</v>
      </c>
      <c r="C76" s="2">
        <v>4</v>
      </c>
      <c r="D76" s="1">
        <v>0</v>
      </c>
      <c r="E76" s="1">
        <v>32.778395072194442</v>
      </c>
      <c r="F76" s="1">
        <v>66.166233607417652</v>
      </c>
    </row>
    <row r="77" spans="1:6">
      <c r="A77">
        <v>312</v>
      </c>
      <c r="B77" t="s">
        <v>125</v>
      </c>
      <c r="C77" s="2">
        <v>4</v>
      </c>
      <c r="D77" s="1">
        <v>0</v>
      </c>
      <c r="E77" s="1">
        <v>14.527434008813962</v>
      </c>
      <c r="F77" s="1">
        <v>98.419105321856449</v>
      </c>
    </row>
    <row r="78" spans="1:6">
      <c r="A78">
        <v>320</v>
      </c>
      <c r="B78" t="s">
        <v>126</v>
      </c>
      <c r="C78" s="2">
        <v>4</v>
      </c>
      <c r="D78" s="1">
        <v>0</v>
      </c>
      <c r="E78" s="1">
        <v>1.7763568394002501E-14</v>
      </c>
      <c r="F78" s="1">
        <v>89.685499999999706</v>
      </c>
    </row>
    <row r="79" spans="1:6">
      <c r="A79">
        <v>324</v>
      </c>
      <c r="B79" t="s">
        <v>127</v>
      </c>
      <c r="C79" s="2">
        <v>8</v>
      </c>
      <c r="D79" s="1">
        <v>0</v>
      </c>
      <c r="E79" s="1">
        <v>0</v>
      </c>
      <c r="F79" s="1">
        <v>3.9474596431116671E-15</v>
      </c>
    </row>
    <row r="80" spans="1:6">
      <c r="A80">
        <v>328</v>
      </c>
      <c r="B80" t="s">
        <v>128</v>
      </c>
      <c r="C80" s="2">
        <v>6</v>
      </c>
      <c r="D80" s="1">
        <v>0</v>
      </c>
      <c r="E80" s="1">
        <v>0.61094465955272637</v>
      </c>
      <c r="F80" s="1">
        <v>32.29149543093061</v>
      </c>
    </row>
    <row r="81" spans="1:6">
      <c r="A81">
        <v>332</v>
      </c>
      <c r="B81" t="s">
        <v>129</v>
      </c>
      <c r="C81" s="2">
        <v>4</v>
      </c>
      <c r="D81" s="1">
        <v>0</v>
      </c>
      <c r="E81" s="1">
        <v>3.9474596431116671E-15</v>
      </c>
      <c r="F81" s="1">
        <v>76.66851466666651</v>
      </c>
    </row>
    <row r="82" spans="1:6">
      <c r="A82">
        <v>340</v>
      </c>
      <c r="B82" t="s">
        <v>130</v>
      </c>
      <c r="C82" s="2">
        <v>4</v>
      </c>
      <c r="D82" s="1">
        <v>0</v>
      </c>
      <c r="E82" s="1">
        <v>0</v>
      </c>
      <c r="F82" s="1">
        <v>90.466499999999655</v>
      </c>
    </row>
    <row r="83" spans="1:6">
      <c r="A83">
        <v>344</v>
      </c>
      <c r="B83" t="s">
        <v>131</v>
      </c>
      <c r="C83" s="2">
        <v>20</v>
      </c>
      <c r="D83" s="1">
        <v>0</v>
      </c>
      <c r="E83" s="1">
        <v>99.999999999999829</v>
      </c>
      <c r="F83" s="1">
        <v>99.999999999999829</v>
      </c>
    </row>
    <row r="84" spans="1:6">
      <c r="A84">
        <v>348</v>
      </c>
      <c r="B84" t="s">
        <v>132</v>
      </c>
      <c r="C84" s="2">
        <v>12</v>
      </c>
      <c r="D84" s="1">
        <v>33.1</v>
      </c>
      <c r="E84" s="1">
        <v>89.837499999999835</v>
      </c>
      <c r="F84" s="1">
        <v>94.270499999999487</v>
      </c>
    </row>
    <row r="85" spans="1:6">
      <c r="A85">
        <v>352</v>
      </c>
      <c r="B85" t="s">
        <v>133</v>
      </c>
      <c r="C85" s="2">
        <v>11</v>
      </c>
      <c r="D85" s="1">
        <v>1</v>
      </c>
      <c r="E85" s="1">
        <v>73.441246666666672</v>
      </c>
      <c r="F85" s="1">
        <v>98.067999999999813</v>
      </c>
    </row>
    <row r="86" spans="1:6">
      <c r="A86">
        <v>356</v>
      </c>
      <c r="B86" t="s">
        <v>134</v>
      </c>
      <c r="C86" s="2">
        <v>18</v>
      </c>
      <c r="D86" s="1">
        <v>0</v>
      </c>
      <c r="E86" s="1">
        <v>3.9474596431116671E-15</v>
      </c>
      <c r="F86" s="1">
        <v>65.949488844106554</v>
      </c>
    </row>
    <row r="87" spans="1:6">
      <c r="A87">
        <v>360</v>
      </c>
      <c r="B87" t="s">
        <v>135</v>
      </c>
      <c r="C87" s="2">
        <v>22</v>
      </c>
      <c r="D87" s="1">
        <v>0</v>
      </c>
      <c r="E87" s="1">
        <v>2.6480095355517022</v>
      </c>
      <c r="F87" s="1">
        <v>75.563358734864408</v>
      </c>
    </row>
    <row r="88" spans="1:6">
      <c r="A88">
        <v>364</v>
      </c>
      <c r="B88" t="s">
        <v>136</v>
      </c>
      <c r="C88" s="2">
        <v>17</v>
      </c>
      <c r="D88" s="1">
        <v>0</v>
      </c>
      <c r="E88" s="1">
        <v>0</v>
      </c>
      <c r="F88" s="1">
        <v>2.815138886756495</v>
      </c>
    </row>
    <row r="89" spans="1:6">
      <c r="A89">
        <v>368</v>
      </c>
      <c r="B89" t="s">
        <v>137</v>
      </c>
      <c r="C89" s="2">
        <v>17</v>
      </c>
      <c r="D89" s="1">
        <v>0</v>
      </c>
      <c r="E89" s="1">
        <v>7.8949192862233342E-15</v>
      </c>
      <c r="F89" s="1">
        <v>78.897603812498659</v>
      </c>
    </row>
    <row r="90" spans="1:6">
      <c r="A90">
        <v>372</v>
      </c>
      <c r="B90" t="s">
        <v>138</v>
      </c>
      <c r="C90" s="2">
        <v>11</v>
      </c>
      <c r="D90" s="1">
        <v>11</v>
      </c>
      <c r="E90" s="1">
        <v>81.645560257236411</v>
      </c>
      <c r="F90" s="1">
        <v>93.513499999999539</v>
      </c>
    </row>
    <row r="91" spans="1:6">
      <c r="A91">
        <v>376</v>
      </c>
      <c r="B91" t="s">
        <v>139</v>
      </c>
      <c r="C91" s="2">
        <v>17</v>
      </c>
      <c r="D91" s="1">
        <v>46.078301620495004</v>
      </c>
      <c r="E91" s="1">
        <v>83.638522937414976</v>
      </c>
      <c r="F91" s="1">
        <v>99.099999999999966</v>
      </c>
    </row>
    <row r="92" spans="1:6">
      <c r="A92">
        <v>380</v>
      </c>
      <c r="B92" t="s">
        <v>140</v>
      </c>
      <c r="C92" s="2">
        <v>11</v>
      </c>
      <c r="D92" s="1">
        <v>38.1</v>
      </c>
      <c r="E92" s="1">
        <v>52.932891764705879</v>
      </c>
      <c r="F92" s="1">
        <v>94.622999999999834</v>
      </c>
    </row>
    <row r="93" spans="1:6">
      <c r="A93">
        <v>384</v>
      </c>
      <c r="B93" t="s">
        <v>141</v>
      </c>
      <c r="C93" s="2">
        <v>8</v>
      </c>
      <c r="D93" s="1">
        <v>0</v>
      </c>
      <c r="E93" s="1">
        <v>0</v>
      </c>
      <c r="F93" s="1">
        <v>3.5635451093997967</v>
      </c>
    </row>
    <row r="94" spans="1:6">
      <c r="A94">
        <v>388</v>
      </c>
      <c r="B94" t="s">
        <v>142</v>
      </c>
      <c r="C94" s="2">
        <v>4</v>
      </c>
      <c r="D94" s="1">
        <v>0</v>
      </c>
      <c r="E94" s="1">
        <v>0</v>
      </c>
      <c r="F94" s="1">
        <v>33.095312359803359</v>
      </c>
    </row>
    <row r="95" spans="1:6">
      <c r="A95">
        <v>392</v>
      </c>
      <c r="B95" t="s">
        <v>143</v>
      </c>
      <c r="C95" s="2">
        <v>23</v>
      </c>
      <c r="D95" s="1">
        <v>18.399999999999999</v>
      </c>
      <c r="E95" s="1">
        <v>62.316834605714924</v>
      </c>
      <c r="F95" s="1">
        <v>94.860999999999436</v>
      </c>
    </row>
    <row r="96" spans="1:6">
      <c r="A96">
        <v>398</v>
      </c>
      <c r="B96" t="s">
        <v>144</v>
      </c>
      <c r="C96" s="2">
        <v>15</v>
      </c>
      <c r="D96" s="1">
        <v>0</v>
      </c>
      <c r="E96" s="1">
        <v>29.86852263602902</v>
      </c>
      <c r="F96" s="1">
        <v>71.935649785064626</v>
      </c>
    </row>
    <row r="97" spans="1:6">
      <c r="A97">
        <v>400</v>
      </c>
      <c r="B97" t="s">
        <v>145</v>
      </c>
      <c r="C97" s="2">
        <v>17</v>
      </c>
      <c r="D97" s="1">
        <v>0</v>
      </c>
      <c r="E97" s="1">
        <v>1.8545586666666003</v>
      </c>
      <c r="F97" s="1">
        <v>97.121999999999829</v>
      </c>
    </row>
    <row r="98" spans="1:6">
      <c r="A98">
        <v>404</v>
      </c>
      <c r="B98" t="s">
        <v>146</v>
      </c>
      <c r="C98" s="2">
        <v>9</v>
      </c>
      <c r="D98" s="1">
        <v>0</v>
      </c>
      <c r="E98" s="1">
        <v>0</v>
      </c>
      <c r="F98" s="1">
        <v>64.74373113230385</v>
      </c>
    </row>
    <row r="99" spans="1:6">
      <c r="A99">
        <v>408</v>
      </c>
      <c r="B99" t="s">
        <v>147</v>
      </c>
      <c r="C99" s="2">
        <v>19</v>
      </c>
      <c r="D99" s="1">
        <v>0</v>
      </c>
      <c r="E99" s="1">
        <v>39.252727248557932</v>
      </c>
      <c r="F99" s="1">
        <v>40.648850777969685</v>
      </c>
    </row>
    <row r="100" spans="1:6">
      <c r="A100">
        <v>410</v>
      </c>
      <c r="B100" t="s">
        <v>148</v>
      </c>
      <c r="C100" s="2">
        <v>19</v>
      </c>
      <c r="D100" s="1">
        <v>0</v>
      </c>
      <c r="E100" s="1">
        <v>64.292831111111113</v>
      </c>
      <c r="F100" s="1">
        <v>98.695999999999998</v>
      </c>
    </row>
    <row r="101" spans="1:6">
      <c r="A101">
        <v>414</v>
      </c>
      <c r="B101" t="s">
        <v>149</v>
      </c>
      <c r="C101" s="2">
        <v>17</v>
      </c>
      <c r="D101" s="1">
        <v>90</v>
      </c>
      <c r="E101" s="1">
        <v>99.999999999999972</v>
      </c>
      <c r="F101" s="1">
        <v>99.999999999999972</v>
      </c>
    </row>
    <row r="102" spans="1:6">
      <c r="A102">
        <v>417</v>
      </c>
      <c r="B102" t="s">
        <v>150</v>
      </c>
      <c r="C102" s="2">
        <v>15</v>
      </c>
      <c r="D102" s="1">
        <v>0</v>
      </c>
      <c r="E102" s="1">
        <v>4.9343245538895837E-15</v>
      </c>
      <c r="F102" s="1">
        <v>3.3557696459192803</v>
      </c>
    </row>
    <row r="103" spans="1:6">
      <c r="A103">
        <v>418</v>
      </c>
      <c r="B103" t="s">
        <v>151</v>
      </c>
      <c r="C103" s="2">
        <v>21</v>
      </c>
      <c r="D103" s="1">
        <v>0</v>
      </c>
      <c r="E103" s="1">
        <v>9.8686491077791673E-15</v>
      </c>
      <c r="F103" s="1">
        <v>81.174803066648465</v>
      </c>
    </row>
    <row r="104" spans="1:6">
      <c r="A104">
        <v>422</v>
      </c>
      <c r="B104" t="s">
        <v>152</v>
      </c>
      <c r="C104" s="2">
        <v>17</v>
      </c>
      <c r="D104" s="1">
        <v>0</v>
      </c>
      <c r="E104" s="1">
        <v>0</v>
      </c>
      <c r="F104" s="1">
        <v>0</v>
      </c>
    </row>
    <row r="105" spans="1:6">
      <c r="A105">
        <v>426</v>
      </c>
      <c r="B105" t="s">
        <v>153</v>
      </c>
      <c r="C105" s="2">
        <v>26</v>
      </c>
      <c r="D105" s="1">
        <v>0</v>
      </c>
      <c r="E105" s="1">
        <v>1.4802973661668753E-15</v>
      </c>
      <c r="F105" s="1">
        <v>9.375216652390209E-15</v>
      </c>
    </row>
    <row r="106" spans="1:6">
      <c r="A106">
        <v>428</v>
      </c>
      <c r="B106" t="s">
        <v>154</v>
      </c>
      <c r="C106" s="2">
        <v>12</v>
      </c>
      <c r="D106" s="1">
        <v>16.100000000000001</v>
      </c>
      <c r="E106" s="1">
        <v>89.699999999999818</v>
      </c>
      <c r="F106" s="1">
        <v>94.076999999999586</v>
      </c>
    </row>
    <row r="107" spans="1:6">
      <c r="A107">
        <v>430</v>
      </c>
      <c r="B107" t="s">
        <v>155</v>
      </c>
      <c r="C107" s="2">
        <v>8</v>
      </c>
      <c r="D107" s="1">
        <v>0</v>
      </c>
      <c r="E107" s="1">
        <v>0</v>
      </c>
      <c r="F107" s="1">
        <v>1.556903807129733</v>
      </c>
    </row>
    <row r="108" spans="1:6">
      <c r="A108">
        <v>434</v>
      </c>
      <c r="B108" t="s">
        <v>156</v>
      </c>
      <c r="C108" s="2">
        <v>7</v>
      </c>
      <c r="D108" s="1">
        <v>0</v>
      </c>
      <c r="E108" s="1">
        <v>0</v>
      </c>
      <c r="F108" s="1">
        <v>0</v>
      </c>
    </row>
    <row r="109" spans="1:6">
      <c r="A109">
        <v>438</v>
      </c>
      <c r="B109" t="s">
        <v>157</v>
      </c>
      <c r="C109" s="2">
        <v>11</v>
      </c>
      <c r="D109" s="1">
        <v>0</v>
      </c>
      <c r="E109" s="1">
        <v>99.999999999999972</v>
      </c>
      <c r="F109" s="1">
        <v>99.999999999999972</v>
      </c>
    </row>
    <row r="110" spans="1:6">
      <c r="A110">
        <v>440</v>
      </c>
      <c r="B110" t="s">
        <v>158</v>
      </c>
      <c r="C110" s="2">
        <v>12</v>
      </c>
      <c r="D110" s="1">
        <v>43.248000000000005</v>
      </c>
      <c r="E110" s="1">
        <v>92.799999999999969</v>
      </c>
      <c r="F110" s="1">
        <v>94.622999999999834</v>
      </c>
    </row>
    <row r="111" spans="1:6">
      <c r="A111">
        <v>442</v>
      </c>
      <c r="B111" t="s">
        <v>159</v>
      </c>
      <c r="C111" s="2">
        <v>11</v>
      </c>
      <c r="D111" s="1">
        <v>25</v>
      </c>
      <c r="E111" s="1">
        <v>98.09999999999998</v>
      </c>
      <c r="F111" s="1">
        <v>98.09999999999998</v>
      </c>
    </row>
    <row r="112" spans="1:6">
      <c r="A112">
        <v>450</v>
      </c>
      <c r="B112" t="s">
        <v>160</v>
      </c>
      <c r="C112" s="2">
        <v>9</v>
      </c>
      <c r="D112" s="1">
        <v>0</v>
      </c>
      <c r="E112" s="1">
        <v>1.9737298215558335E-15</v>
      </c>
      <c r="F112" s="1">
        <v>60.034085643246527</v>
      </c>
    </row>
    <row r="113" spans="1:6">
      <c r="A113">
        <v>454</v>
      </c>
      <c r="B113" t="s">
        <v>161</v>
      </c>
      <c r="C113" s="2">
        <v>26</v>
      </c>
      <c r="D113" s="1">
        <v>0</v>
      </c>
      <c r="E113" s="1">
        <v>0</v>
      </c>
      <c r="F113" s="1">
        <v>28.712837829730308</v>
      </c>
    </row>
    <row r="114" spans="1:6">
      <c r="A114">
        <v>458</v>
      </c>
      <c r="B114" t="s">
        <v>162</v>
      </c>
      <c r="C114" s="2">
        <v>21</v>
      </c>
      <c r="D114" s="1">
        <v>0</v>
      </c>
      <c r="E114" s="1">
        <v>20.075815555555533</v>
      </c>
      <c r="F114" s="1">
        <v>96.759499999999875</v>
      </c>
    </row>
    <row r="115" spans="1:6">
      <c r="A115">
        <v>466</v>
      </c>
      <c r="B115" t="s">
        <v>163</v>
      </c>
      <c r="C115" s="2">
        <v>8</v>
      </c>
      <c r="D115" s="1">
        <v>0</v>
      </c>
      <c r="E115" s="1">
        <v>0</v>
      </c>
      <c r="F115" s="1">
        <v>2.5658487680225837E-14</v>
      </c>
    </row>
    <row r="116" spans="1:6">
      <c r="A116">
        <v>470</v>
      </c>
      <c r="B116" t="s">
        <v>164</v>
      </c>
      <c r="C116" s="2">
        <v>12</v>
      </c>
      <c r="D116" s="1">
        <v>0</v>
      </c>
      <c r="E116" s="1">
        <v>21.134313333333324</v>
      </c>
      <c r="F116" s="1">
        <v>98.726999999999634</v>
      </c>
    </row>
    <row r="117" spans="1:6">
      <c r="A117">
        <v>474</v>
      </c>
      <c r="B117" t="s">
        <v>165</v>
      </c>
      <c r="C117" s="2">
        <v>4</v>
      </c>
      <c r="D117" s="1">
        <v>0</v>
      </c>
      <c r="E117" s="1">
        <v>1.9737298215558335E-15</v>
      </c>
      <c r="F117" s="1">
        <v>96.084000000000003</v>
      </c>
    </row>
    <row r="118" spans="1:6">
      <c r="A118">
        <v>478</v>
      </c>
      <c r="B118" t="s">
        <v>166</v>
      </c>
      <c r="C118" s="2">
        <v>8</v>
      </c>
      <c r="D118" s="1">
        <v>0</v>
      </c>
      <c r="E118" s="1">
        <v>9.8686491077791677E-16</v>
      </c>
      <c r="F118" s="1">
        <v>6.9080543754454176E-15</v>
      </c>
    </row>
    <row r="119" spans="1:6">
      <c r="A119">
        <v>480</v>
      </c>
      <c r="B119" t="s">
        <v>167</v>
      </c>
      <c r="C119" s="2">
        <v>9</v>
      </c>
      <c r="D119" s="1">
        <v>0</v>
      </c>
      <c r="E119" s="1">
        <v>0</v>
      </c>
      <c r="F119" s="1">
        <v>51.929869824680125</v>
      </c>
    </row>
    <row r="120" spans="1:6">
      <c r="A120">
        <v>484</v>
      </c>
      <c r="B120" t="s">
        <v>168</v>
      </c>
      <c r="C120" s="2">
        <v>3</v>
      </c>
      <c r="D120" s="1">
        <v>0</v>
      </c>
      <c r="E120" s="1">
        <v>0</v>
      </c>
      <c r="F120" s="1">
        <v>95.430140584795197</v>
      </c>
    </row>
    <row r="121" spans="1:6">
      <c r="A121">
        <v>496</v>
      </c>
      <c r="B121" t="s">
        <v>169</v>
      </c>
      <c r="C121" s="2">
        <v>20</v>
      </c>
      <c r="D121" s="1">
        <v>0</v>
      </c>
      <c r="E121" s="1">
        <v>67.022955128828613</v>
      </c>
      <c r="F121" s="1">
        <v>93.556499999999659</v>
      </c>
    </row>
    <row r="122" spans="1:6">
      <c r="A122">
        <v>498</v>
      </c>
      <c r="B122" t="s">
        <v>170</v>
      </c>
      <c r="C122" s="2">
        <v>14</v>
      </c>
      <c r="D122" s="1">
        <v>0</v>
      </c>
      <c r="E122" s="1">
        <v>0</v>
      </c>
      <c r="F122" s="1">
        <v>3.4142148085970638</v>
      </c>
    </row>
    <row r="123" spans="1:6">
      <c r="A123">
        <v>500</v>
      </c>
      <c r="B123" t="s">
        <v>171</v>
      </c>
      <c r="C123" s="2">
        <v>4</v>
      </c>
      <c r="D123" s="1">
        <v>0</v>
      </c>
      <c r="E123" s="1">
        <v>18.797409928794252</v>
      </c>
      <c r="F123" s="1">
        <v>84.489499999999779</v>
      </c>
    </row>
    <row r="124" spans="1:6">
      <c r="A124">
        <v>504</v>
      </c>
      <c r="B124" t="s">
        <v>172</v>
      </c>
      <c r="C124" s="2">
        <v>7</v>
      </c>
      <c r="D124" s="1">
        <v>0</v>
      </c>
      <c r="E124" s="1">
        <v>0</v>
      </c>
      <c r="F124" s="1">
        <v>13.879102888888884</v>
      </c>
    </row>
    <row r="125" spans="1:6">
      <c r="A125">
        <v>508</v>
      </c>
      <c r="B125" t="s">
        <v>173</v>
      </c>
      <c r="C125" s="2">
        <v>26</v>
      </c>
      <c r="D125" s="1">
        <v>0</v>
      </c>
      <c r="E125" s="1">
        <v>0</v>
      </c>
      <c r="F125" s="1">
        <v>0</v>
      </c>
    </row>
    <row r="126" spans="1:6">
      <c r="A126">
        <v>512</v>
      </c>
      <c r="B126" t="s">
        <v>174</v>
      </c>
      <c r="C126" s="2">
        <v>17</v>
      </c>
      <c r="D126" s="1">
        <v>0</v>
      </c>
      <c r="E126" s="1">
        <v>0</v>
      </c>
      <c r="F126" s="1">
        <v>39.917810879527138</v>
      </c>
    </row>
    <row r="127" spans="1:6">
      <c r="A127">
        <v>516</v>
      </c>
      <c r="B127" t="s">
        <v>175</v>
      </c>
      <c r="C127" s="2">
        <v>26</v>
      </c>
      <c r="D127" s="1">
        <v>0</v>
      </c>
      <c r="E127" s="1">
        <v>0</v>
      </c>
      <c r="F127" s="1">
        <v>7.8949192862233342E-15</v>
      </c>
    </row>
    <row r="128" spans="1:6">
      <c r="A128">
        <v>524</v>
      </c>
      <c r="B128" t="s">
        <v>176</v>
      </c>
      <c r="C128" s="2">
        <v>25</v>
      </c>
      <c r="D128" s="1">
        <v>0</v>
      </c>
      <c r="E128" s="1">
        <v>0</v>
      </c>
      <c r="F128" s="1">
        <v>27.210744293465996</v>
      </c>
    </row>
    <row r="129" spans="1:6">
      <c r="A129">
        <v>528</v>
      </c>
      <c r="B129" t="s">
        <v>177</v>
      </c>
      <c r="C129" s="2">
        <v>11</v>
      </c>
      <c r="D129" s="1">
        <v>98</v>
      </c>
      <c r="E129" s="1">
        <v>99.5</v>
      </c>
      <c r="F129" s="1">
        <v>99.5</v>
      </c>
    </row>
    <row r="130" spans="1:6">
      <c r="A130">
        <v>530</v>
      </c>
      <c r="B130" t="s">
        <v>178</v>
      </c>
      <c r="C130" s="2">
        <v>4</v>
      </c>
      <c r="D130" s="1">
        <v>0</v>
      </c>
      <c r="E130" s="1">
        <v>3.9474596431116671E-15</v>
      </c>
      <c r="F130" s="1">
        <v>92.133423917904139</v>
      </c>
    </row>
    <row r="131" spans="1:6">
      <c r="A131">
        <v>533</v>
      </c>
      <c r="B131" t="s">
        <v>179</v>
      </c>
      <c r="C131" s="2">
        <v>4</v>
      </c>
      <c r="D131" s="1">
        <v>0</v>
      </c>
      <c r="E131" s="1">
        <v>70.513049431359022</v>
      </c>
      <c r="F131" s="1">
        <v>90.443499999999574</v>
      </c>
    </row>
    <row r="132" spans="1:6">
      <c r="A132">
        <v>540</v>
      </c>
      <c r="B132" t="s">
        <v>180</v>
      </c>
      <c r="C132" s="2">
        <v>24</v>
      </c>
      <c r="D132" s="1">
        <v>0</v>
      </c>
      <c r="E132" s="1">
        <v>7.8949192862233342E-15</v>
      </c>
      <c r="F132" s="1">
        <v>84.519362222221787</v>
      </c>
    </row>
    <row r="133" spans="1:6">
      <c r="A133">
        <v>548</v>
      </c>
      <c r="B133" t="s">
        <v>181</v>
      </c>
      <c r="C133" s="2">
        <v>24</v>
      </c>
      <c r="D133" s="1">
        <v>0</v>
      </c>
      <c r="E133" s="1">
        <v>0</v>
      </c>
      <c r="F133" s="1">
        <v>15.246288508763499</v>
      </c>
    </row>
    <row r="134" spans="1:6">
      <c r="A134">
        <v>554</v>
      </c>
      <c r="B134" t="s">
        <v>182</v>
      </c>
      <c r="C134" s="2">
        <v>24</v>
      </c>
      <c r="D134" s="1">
        <v>39.519999999999996</v>
      </c>
      <c r="E134" s="1">
        <v>81.764357715850494</v>
      </c>
      <c r="F134" s="1">
        <v>97.461999999999477</v>
      </c>
    </row>
    <row r="135" spans="1:6">
      <c r="A135">
        <v>558</v>
      </c>
      <c r="B135" t="s">
        <v>183</v>
      </c>
      <c r="C135" s="2">
        <v>4</v>
      </c>
      <c r="D135" s="1">
        <v>0</v>
      </c>
      <c r="E135" s="1">
        <v>3.9474596431116671E-15</v>
      </c>
      <c r="F135" s="1">
        <v>89.365999999999829</v>
      </c>
    </row>
    <row r="136" spans="1:6">
      <c r="A136">
        <v>562</v>
      </c>
      <c r="B136" t="s">
        <v>184</v>
      </c>
      <c r="C136" s="2">
        <v>8</v>
      </c>
      <c r="D136" s="1">
        <v>0</v>
      </c>
      <c r="E136" s="1">
        <v>0</v>
      </c>
      <c r="F136" s="1">
        <v>8.4217868888888745</v>
      </c>
    </row>
    <row r="137" spans="1:6">
      <c r="A137">
        <v>566</v>
      </c>
      <c r="B137" t="s">
        <v>185</v>
      </c>
      <c r="C137" s="2">
        <v>8</v>
      </c>
      <c r="D137" s="1">
        <v>0</v>
      </c>
      <c r="E137" s="1">
        <v>0</v>
      </c>
      <c r="F137" s="1">
        <v>69.153766949348793</v>
      </c>
    </row>
    <row r="138" spans="1:6">
      <c r="A138">
        <v>578</v>
      </c>
      <c r="B138" t="s">
        <v>186</v>
      </c>
      <c r="C138" s="2">
        <v>11</v>
      </c>
      <c r="D138" s="1">
        <v>57.6</v>
      </c>
      <c r="E138" s="1">
        <v>93.013289245494462</v>
      </c>
      <c r="F138" s="1">
        <v>96.796499999999327</v>
      </c>
    </row>
    <row r="139" spans="1:6">
      <c r="A139">
        <v>586</v>
      </c>
      <c r="B139" t="s">
        <v>187</v>
      </c>
      <c r="C139" s="2">
        <v>25</v>
      </c>
      <c r="D139" s="1">
        <v>0</v>
      </c>
      <c r="E139" s="1">
        <v>0</v>
      </c>
      <c r="F139" s="1">
        <v>43.863598222222194</v>
      </c>
    </row>
    <row r="140" spans="1:6">
      <c r="A140">
        <v>591</v>
      </c>
      <c r="B140" t="s">
        <v>188</v>
      </c>
      <c r="C140" s="2">
        <v>4</v>
      </c>
      <c r="D140" s="1">
        <v>0</v>
      </c>
      <c r="E140" s="1">
        <v>63.305474038453326</v>
      </c>
      <c r="F140" s="1">
        <v>84.942089762461649</v>
      </c>
    </row>
    <row r="141" spans="1:6">
      <c r="A141">
        <v>598</v>
      </c>
      <c r="B141" t="s">
        <v>189</v>
      </c>
      <c r="C141" s="2">
        <v>22</v>
      </c>
      <c r="D141" s="1">
        <v>0</v>
      </c>
      <c r="E141" s="1">
        <v>3.9474596431116671E-15</v>
      </c>
      <c r="F141" s="1">
        <v>74.182423777777757</v>
      </c>
    </row>
    <row r="142" spans="1:6">
      <c r="A142">
        <v>600</v>
      </c>
      <c r="B142" t="s">
        <v>190</v>
      </c>
      <c r="C142" s="2">
        <v>6</v>
      </c>
      <c r="D142" s="1">
        <v>0</v>
      </c>
      <c r="E142" s="1">
        <v>19.16426832973762</v>
      </c>
      <c r="F142" s="1">
        <v>75.231709653407478</v>
      </c>
    </row>
    <row r="143" spans="1:6">
      <c r="A143">
        <v>604</v>
      </c>
      <c r="B143" t="s">
        <v>191</v>
      </c>
      <c r="C143" s="2">
        <v>6</v>
      </c>
      <c r="D143" s="1">
        <v>0</v>
      </c>
      <c r="E143" s="1">
        <v>0</v>
      </c>
      <c r="F143" s="1">
        <v>17.276864888888788</v>
      </c>
    </row>
    <row r="144" spans="1:6">
      <c r="A144">
        <v>608</v>
      </c>
      <c r="B144" t="s">
        <v>192</v>
      </c>
      <c r="C144" s="2">
        <v>21</v>
      </c>
      <c r="D144" s="1">
        <v>0</v>
      </c>
      <c r="E144" s="1">
        <v>0</v>
      </c>
      <c r="F144" s="1">
        <v>76.680511883055757</v>
      </c>
    </row>
    <row r="145" spans="1:6">
      <c r="A145">
        <v>616</v>
      </c>
      <c r="B145" t="s">
        <v>193</v>
      </c>
      <c r="C145" s="2">
        <v>12</v>
      </c>
      <c r="D145" s="1">
        <v>49.6</v>
      </c>
      <c r="E145" s="1">
        <v>88.603499999999826</v>
      </c>
      <c r="F145" s="1">
        <v>93.000499999999306</v>
      </c>
    </row>
    <row r="146" spans="1:6">
      <c r="A146">
        <v>620</v>
      </c>
      <c r="B146" t="s">
        <v>194</v>
      </c>
      <c r="C146" s="2">
        <v>11</v>
      </c>
      <c r="D146" s="1">
        <v>16.399999999999999</v>
      </c>
      <c r="E146" s="1">
        <v>27.467998099385714</v>
      </c>
      <c r="F146" s="1">
        <v>93.016499999999979</v>
      </c>
    </row>
    <row r="147" spans="1:6">
      <c r="A147">
        <v>624</v>
      </c>
      <c r="B147" t="s">
        <v>195</v>
      </c>
      <c r="C147" s="2">
        <v>8</v>
      </c>
      <c r="D147" s="1">
        <v>0</v>
      </c>
      <c r="E147" s="1">
        <v>0</v>
      </c>
      <c r="F147" s="1">
        <v>0</v>
      </c>
    </row>
    <row r="148" spans="1:6">
      <c r="A148">
        <v>626</v>
      </c>
      <c r="B148" t="s">
        <v>196</v>
      </c>
      <c r="C148" s="2">
        <v>22</v>
      </c>
      <c r="D148" s="1">
        <v>0</v>
      </c>
      <c r="E148" s="1">
        <v>6.9404999734439947</v>
      </c>
      <c r="F148" s="1">
        <v>85.805499999999483</v>
      </c>
    </row>
    <row r="149" spans="1:6">
      <c r="A149">
        <v>630</v>
      </c>
      <c r="B149" t="s">
        <v>197</v>
      </c>
      <c r="C149" s="2">
        <v>4</v>
      </c>
      <c r="D149" s="1">
        <v>0</v>
      </c>
      <c r="E149" s="1">
        <v>1.5789838572446668E-14</v>
      </c>
      <c r="F149" s="1">
        <v>2.4110844444444419</v>
      </c>
    </row>
    <row r="150" spans="1:6">
      <c r="A150">
        <v>634</v>
      </c>
      <c r="B150" t="s">
        <v>198</v>
      </c>
      <c r="C150" s="2">
        <v>17</v>
      </c>
      <c r="D150" s="1">
        <v>76.900000000000006</v>
      </c>
      <c r="E150" s="1">
        <v>88.998096219022386</v>
      </c>
      <c r="F150" s="1">
        <v>94.314133753887418</v>
      </c>
    </row>
    <row r="151" spans="1:6">
      <c r="A151">
        <v>638</v>
      </c>
      <c r="B151" t="s">
        <v>199</v>
      </c>
      <c r="C151" s="2">
        <v>9</v>
      </c>
      <c r="D151" s="1">
        <v>0</v>
      </c>
      <c r="E151" s="1">
        <v>0</v>
      </c>
      <c r="F151" s="1">
        <v>14.629456749133631</v>
      </c>
    </row>
    <row r="152" spans="1:6">
      <c r="A152">
        <v>642</v>
      </c>
      <c r="B152" t="s">
        <v>200</v>
      </c>
      <c r="C152" s="2">
        <v>12</v>
      </c>
      <c r="D152" s="1">
        <v>0.7</v>
      </c>
      <c r="E152" s="1">
        <v>67.698916676764</v>
      </c>
      <c r="F152" s="1">
        <v>86.525273822065671</v>
      </c>
    </row>
    <row r="153" spans="1:6">
      <c r="A153">
        <v>643</v>
      </c>
      <c r="B153" t="s">
        <v>201</v>
      </c>
      <c r="C153" s="2">
        <v>16</v>
      </c>
      <c r="D153" s="1">
        <v>0</v>
      </c>
      <c r="E153" s="1">
        <v>9.3581114190508092</v>
      </c>
      <c r="F153" s="1">
        <v>81.532126974606342</v>
      </c>
    </row>
    <row r="154" spans="1:6">
      <c r="A154">
        <v>646</v>
      </c>
      <c r="B154" t="s">
        <v>202</v>
      </c>
      <c r="C154" s="2">
        <v>9</v>
      </c>
      <c r="D154" s="1">
        <v>0</v>
      </c>
      <c r="E154" s="1">
        <v>0</v>
      </c>
      <c r="F154" s="1">
        <v>51.111085532135519</v>
      </c>
    </row>
    <row r="155" spans="1:6">
      <c r="A155">
        <v>659</v>
      </c>
      <c r="B155" t="s">
        <v>203</v>
      </c>
      <c r="C155" s="2">
        <v>4</v>
      </c>
      <c r="D155" s="1">
        <v>0</v>
      </c>
      <c r="E155" s="1">
        <v>34.028748542451211</v>
      </c>
      <c r="F155" s="1">
        <v>67.416587077674436</v>
      </c>
    </row>
    <row r="156" spans="1:6">
      <c r="A156">
        <v>660</v>
      </c>
      <c r="B156" t="s">
        <v>204</v>
      </c>
      <c r="C156" s="2">
        <v>4</v>
      </c>
      <c r="D156" s="1">
        <v>0</v>
      </c>
      <c r="E156" s="1">
        <v>62.36820015220038</v>
      </c>
      <c r="F156" s="1">
        <v>95.756038687423612</v>
      </c>
    </row>
    <row r="157" spans="1:6">
      <c r="A157">
        <v>662</v>
      </c>
      <c r="B157" t="s">
        <v>205</v>
      </c>
      <c r="C157" s="2">
        <v>4</v>
      </c>
      <c r="D157" s="1">
        <v>0</v>
      </c>
      <c r="E157" s="1">
        <v>19.890418784557149</v>
      </c>
      <c r="F157" s="1">
        <v>56.472790806010714</v>
      </c>
    </row>
    <row r="158" spans="1:6">
      <c r="A158">
        <v>666</v>
      </c>
      <c r="B158" t="s">
        <v>206</v>
      </c>
      <c r="C158" s="2">
        <v>2</v>
      </c>
      <c r="D158" s="1">
        <v>0</v>
      </c>
      <c r="E158" s="1">
        <v>0</v>
      </c>
      <c r="F158" s="1">
        <v>48.79578309963037</v>
      </c>
    </row>
    <row r="159" spans="1:6">
      <c r="A159">
        <v>670</v>
      </c>
      <c r="B159" t="s">
        <v>207</v>
      </c>
      <c r="C159" s="2">
        <v>4</v>
      </c>
      <c r="D159" s="1">
        <v>0</v>
      </c>
      <c r="E159" s="1">
        <v>2.4058857321933753</v>
      </c>
      <c r="F159" s="1">
        <v>45.175262722809642</v>
      </c>
    </row>
    <row r="160" spans="1:6">
      <c r="A160">
        <v>678</v>
      </c>
      <c r="B160" t="s">
        <v>208</v>
      </c>
      <c r="C160" s="2">
        <v>8</v>
      </c>
      <c r="D160" s="1">
        <v>0</v>
      </c>
      <c r="E160" s="1">
        <v>0</v>
      </c>
      <c r="F160" s="1">
        <v>3.9474596431116671E-15</v>
      </c>
    </row>
    <row r="161" spans="1:6">
      <c r="A161">
        <v>682</v>
      </c>
      <c r="B161" t="s">
        <v>209</v>
      </c>
      <c r="C161" s="2">
        <v>17</v>
      </c>
      <c r="D161" s="1">
        <v>25.156500000000001</v>
      </c>
      <c r="E161" s="1">
        <v>62.86610798202328</v>
      </c>
      <c r="F161" s="1">
        <v>79.742152986158743</v>
      </c>
    </row>
    <row r="162" spans="1:6">
      <c r="A162">
        <v>686</v>
      </c>
      <c r="B162" t="s">
        <v>210</v>
      </c>
      <c r="C162" s="2">
        <v>8</v>
      </c>
      <c r="D162" s="1">
        <v>0</v>
      </c>
      <c r="E162" s="1">
        <v>0</v>
      </c>
      <c r="F162" s="1">
        <v>9.8686491077791673E-15</v>
      </c>
    </row>
    <row r="163" spans="1:6">
      <c r="A163">
        <v>694</v>
      </c>
      <c r="B163" t="s">
        <v>211</v>
      </c>
      <c r="C163" s="2">
        <v>8</v>
      </c>
      <c r="D163" s="1">
        <v>0</v>
      </c>
      <c r="E163" s="1">
        <v>0</v>
      </c>
      <c r="F163" s="1">
        <v>9.8686491077791673E-15</v>
      </c>
    </row>
    <row r="164" spans="1:6">
      <c r="A164">
        <v>702</v>
      </c>
      <c r="B164" t="s">
        <v>212</v>
      </c>
      <c r="C164" s="2">
        <v>21</v>
      </c>
      <c r="D164" s="1">
        <v>100</v>
      </c>
      <c r="E164" s="1">
        <v>100</v>
      </c>
      <c r="F164" s="1">
        <v>100</v>
      </c>
    </row>
    <row r="165" spans="1:6">
      <c r="A165">
        <v>703</v>
      </c>
      <c r="B165" t="s">
        <v>213</v>
      </c>
      <c r="C165" s="2">
        <v>12</v>
      </c>
      <c r="D165" s="1">
        <v>2</v>
      </c>
      <c r="E165" s="1">
        <v>62.327219999999869</v>
      </c>
      <c r="F165" s="1">
        <v>89.085499999999669</v>
      </c>
    </row>
    <row r="166" spans="1:6">
      <c r="A166">
        <v>704</v>
      </c>
      <c r="B166" t="s">
        <v>214</v>
      </c>
      <c r="C166" s="2">
        <v>21</v>
      </c>
      <c r="D166" s="1">
        <v>0</v>
      </c>
      <c r="E166" s="1">
        <v>4.4408920985006254E-15</v>
      </c>
      <c r="F166" s="1">
        <v>35.341430748301356</v>
      </c>
    </row>
    <row r="167" spans="1:6">
      <c r="A167">
        <v>705</v>
      </c>
      <c r="B167" t="s">
        <v>215</v>
      </c>
      <c r="C167" s="2">
        <v>12</v>
      </c>
      <c r="D167" s="1">
        <v>16.3</v>
      </c>
      <c r="E167" s="1">
        <v>74.074895012363754</v>
      </c>
      <c r="F167" s="1">
        <v>89.485499999999448</v>
      </c>
    </row>
    <row r="168" spans="1:6">
      <c r="A168">
        <v>706</v>
      </c>
      <c r="B168" t="s">
        <v>216</v>
      </c>
      <c r="C168" s="2">
        <v>9</v>
      </c>
      <c r="D168" s="1">
        <v>0</v>
      </c>
      <c r="E168" s="1">
        <v>0</v>
      </c>
      <c r="F168" s="1">
        <v>0</v>
      </c>
    </row>
    <row r="169" spans="1:6">
      <c r="A169">
        <v>710</v>
      </c>
      <c r="B169" t="s">
        <v>217</v>
      </c>
      <c r="C169" s="2">
        <v>10</v>
      </c>
      <c r="D169" s="1">
        <v>0</v>
      </c>
      <c r="E169" s="1">
        <v>0</v>
      </c>
      <c r="F169" s="1">
        <v>45.759103111111088</v>
      </c>
    </row>
    <row r="170" spans="1:6">
      <c r="A170">
        <v>716</v>
      </c>
      <c r="B170" t="s">
        <v>218</v>
      </c>
      <c r="C170" s="2">
        <v>26</v>
      </c>
      <c r="D170" s="1">
        <v>0</v>
      </c>
      <c r="E170" s="1">
        <v>0</v>
      </c>
      <c r="F170" s="1">
        <v>20.101276000000006</v>
      </c>
    </row>
    <row r="171" spans="1:6">
      <c r="A171">
        <v>724</v>
      </c>
      <c r="B171" t="s">
        <v>219</v>
      </c>
      <c r="C171" s="2">
        <v>11</v>
      </c>
      <c r="D171" s="1">
        <v>60</v>
      </c>
      <c r="E171" s="1">
        <v>91.403488888888887</v>
      </c>
      <c r="F171" s="1">
        <v>99.999999999999972</v>
      </c>
    </row>
    <row r="172" spans="1:6">
      <c r="A172">
        <v>732</v>
      </c>
      <c r="B172" t="s">
        <v>220</v>
      </c>
      <c r="C172" s="2">
        <v>7</v>
      </c>
      <c r="D172" s="1">
        <v>0</v>
      </c>
      <c r="E172" s="1">
        <v>0</v>
      </c>
      <c r="F172" s="1">
        <v>94.903999999999712</v>
      </c>
    </row>
    <row r="173" spans="1:6">
      <c r="A173">
        <v>736</v>
      </c>
      <c r="B173" t="s">
        <v>221</v>
      </c>
      <c r="C173" s="2">
        <v>9</v>
      </c>
      <c r="D173" s="1">
        <v>0</v>
      </c>
      <c r="E173" s="1">
        <v>3.9474596431116671E-15</v>
      </c>
      <c r="F173" s="1">
        <v>87.033499999999663</v>
      </c>
    </row>
    <row r="174" spans="1:6">
      <c r="A174">
        <v>740</v>
      </c>
      <c r="B174" t="s">
        <v>222</v>
      </c>
      <c r="C174" s="2">
        <v>6</v>
      </c>
      <c r="D174" s="1">
        <v>0</v>
      </c>
      <c r="E174" s="1">
        <v>15.25426384715691</v>
      </c>
      <c r="F174" s="1">
        <v>46.705202216035993</v>
      </c>
    </row>
    <row r="175" spans="1:6">
      <c r="A175">
        <v>748</v>
      </c>
      <c r="B175" t="s">
        <v>223</v>
      </c>
      <c r="C175" s="2">
        <v>26</v>
      </c>
      <c r="D175" s="1">
        <v>0</v>
      </c>
      <c r="E175" s="1">
        <v>1.9737298215558335E-15</v>
      </c>
      <c r="F175" s="1">
        <v>31.16640118830037</v>
      </c>
    </row>
    <row r="176" spans="1:6">
      <c r="A176">
        <v>752</v>
      </c>
      <c r="B176" t="s">
        <v>224</v>
      </c>
      <c r="C176" s="2">
        <v>11</v>
      </c>
      <c r="D176" s="1">
        <v>82</v>
      </c>
      <c r="E176" s="1">
        <v>95.907999999999788</v>
      </c>
      <c r="F176" s="1">
        <v>97.911499999999819</v>
      </c>
    </row>
    <row r="177" spans="1:6">
      <c r="A177">
        <v>756</v>
      </c>
      <c r="B177" t="s">
        <v>225</v>
      </c>
      <c r="C177" s="2">
        <v>11</v>
      </c>
      <c r="D177" s="1">
        <v>78</v>
      </c>
      <c r="E177" s="1">
        <v>98.199999999999974</v>
      </c>
      <c r="F177" s="1">
        <v>98.199999999999974</v>
      </c>
    </row>
    <row r="178" spans="1:6">
      <c r="A178">
        <v>760</v>
      </c>
      <c r="B178" t="s">
        <v>226</v>
      </c>
      <c r="C178" s="2">
        <v>17</v>
      </c>
      <c r="D178" s="1">
        <v>0</v>
      </c>
      <c r="E178" s="1">
        <v>0</v>
      </c>
      <c r="F178" s="1">
        <v>0</v>
      </c>
    </row>
    <row r="179" spans="1:6">
      <c r="A179">
        <v>762</v>
      </c>
      <c r="B179" t="s">
        <v>227</v>
      </c>
      <c r="C179" s="2">
        <v>15</v>
      </c>
      <c r="D179" s="1">
        <v>0</v>
      </c>
      <c r="E179" s="1">
        <v>1.9737298215558335E-15</v>
      </c>
      <c r="F179" s="1">
        <v>7.0823379999999725</v>
      </c>
    </row>
    <row r="180" spans="1:6">
      <c r="A180">
        <v>764</v>
      </c>
      <c r="B180" t="s">
        <v>228</v>
      </c>
      <c r="C180" s="2">
        <v>21</v>
      </c>
      <c r="D180" s="1">
        <v>0</v>
      </c>
      <c r="E180" s="1">
        <v>21.820022924889315</v>
      </c>
      <c r="F180" s="1">
        <v>55.703917741864636</v>
      </c>
    </row>
    <row r="181" spans="1:6">
      <c r="A181">
        <v>768</v>
      </c>
      <c r="B181" t="s">
        <v>229</v>
      </c>
      <c r="C181" s="2">
        <v>8</v>
      </c>
      <c r="D181" s="1">
        <v>0</v>
      </c>
      <c r="E181" s="1">
        <v>0</v>
      </c>
      <c r="F181" s="1">
        <v>1.3816108750890835E-14</v>
      </c>
    </row>
    <row r="182" spans="1:6">
      <c r="A182">
        <v>776</v>
      </c>
      <c r="B182" t="s">
        <v>230</v>
      </c>
      <c r="C182" s="2">
        <v>24</v>
      </c>
      <c r="D182" s="1">
        <v>0</v>
      </c>
      <c r="E182" s="1">
        <v>9.8686491077791677E-16</v>
      </c>
      <c r="F182" s="1">
        <v>12.780372199217211</v>
      </c>
    </row>
    <row r="183" spans="1:6">
      <c r="A183">
        <v>780</v>
      </c>
      <c r="B183" t="s">
        <v>231</v>
      </c>
      <c r="C183" s="2">
        <v>4</v>
      </c>
      <c r="D183" s="1">
        <v>0</v>
      </c>
      <c r="E183" s="1">
        <v>0</v>
      </c>
      <c r="F183" s="1">
        <v>28.425954803810967</v>
      </c>
    </row>
    <row r="184" spans="1:6">
      <c r="A184">
        <v>784</v>
      </c>
      <c r="B184" t="s">
        <v>232</v>
      </c>
      <c r="C184" s="2">
        <v>17</v>
      </c>
      <c r="D184" s="1">
        <v>0</v>
      </c>
      <c r="E184" s="1">
        <v>52.604393333333242</v>
      </c>
      <c r="F184" s="1">
        <v>98.449999999999719</v>
      </c>
    </row>
    <row r="185" spans="1:6">
      <c r="A185">
        <v>788</v>
      </c>
      <c r="B185" t="s">
        <v>233</v>
      </c>
      <c r="C185" s="2">
        <v>7</v>
      </c>
      <c r="D185" s="1">
        <v>2</v>
      </c>
      <c r="E185" s="1">
        <v>4.8827513893518297</v>
      </c>
      <c r="F185" s="1">
        <v>30.263536888888716</v>
      </c>
    </row>
    <row r="186" spans="1:6">
      <c r="A186">
        <v>792</v>
      </c>
      <c r="B186" t="s">
        <v>234</v>
      </c>
      <c r="C186" s="2">
        <v>13</v>
      </c>
      <c r="D186" s="1">
        <v>17.8</v>
      </c>
      <c r="E186" s="1">
        <v>57.837551111111097</v>
      </c>
      <c r="F186" s="1">
        <v>94.712999999999823</v>
      </c>
    </row>
    <row r="187" spans="1:6">
      <c r="A187">
        <v>795</v>
      </c>
      <c r="B187" t="s">
        <v>235</v>
      </c>
      <c r="C187" s="2">
        <v>15</v>
      </c>
      <c r="D187" s="1">
        <v>0</v>
      </c>
      <c r="E187" s="1">
        <v>47.191597496697227</v>
      </c>
      <c r="F187" s="1">
        <v>68.655784242347565</v>
      </c>
    </row>
    <row r="188" spans="1:6">
      <c r="A188">
        <v>796</v>
      </c>
      <c r="B188" t="s">
        <v>236</v>
      </c>
      <c r="C188" s="2">
        <v>4</v>
      </c>
      <c r="D188" s="1">
        <v>0</v>
      </c>
      <c r="E188" s="1">
        <v>36.816807995832029</v>
      </c>
      <c r="F188" s="1">
        <v>70.204646531054991</v>
      </c>
    </row>
    <row r="189" spans="1:6">
      <c r="A189">
        <v>800</v>
      </c>
      <c r="B189" t="s">
        <v>237</v>
      </c>
      <c r="C189" s="2">
        <v>9</v>
      </c>
      <c r="D189" s="1">
        <v>0</v>
      </c>
      <c r="E189" s="1">
        <v>1.9737298215558335E-15</v>
      </c>
      <c r="F189" s="1">
        <v>77.083999999999833</v>
      </c>
    </row>
    <row r="190" spans="1:6">
      <c r="A190">
        <v>804</v>
      </c>
      <c r="B190" t="s">
        <v>238</v>
      </c>
      <c r="C190" s="2">
        <v>14</v>
      </c>
      <c r="D190" s="1">
        <v>0</v>
      </c>
      <c r="E190" s="1">
        <v>0</v>
      </c>
      <c r="F190" s="1">
        <v>54.135342637522754</v>
      </c>
    </row>
    <row r="191" spans="1:6">
      <c r="A191">
        <v>807</v>
      </c>
      <c r="B191" t="s">
        <v>239</v>
      </c>
      <c r="C191" s="2">
        <v>12</v>
      </c>
      <c r="D191" s="1">
        <v>0</v>
      </c>
      <c r="E191" s="1">
        <v>1.5789838572446668E-14</v>
      </c>
      <c r="F191" s="1">
        <v>91.428499999999971</v>
      </c>
    </row>
    <row r="192" spans="1:6">
      <c r="A192">
        <v>818</v>
      </c>
      <c r="B192" t="s">
        <v>240</v>
      </c>
      <c r="C192" s="2">
        <v>7</v>
      </c>
      <c r="D192" s="1">
        <v>0</v>
      </c>
      <c r="E192" s="1">
        <v>7.8949192862233342E-15</v>
      </c>
      <c r="F192" s="1">
        <v>89.290499999999994</v>
      </c>
    </row>
    <row r="193" spans="1:6">
      <c r="A193">
        <v>826</v>
      </c>
      <c r="B193" t="s">
        <v>241</v>
      </c>
      <c r="C193" s="2">
        <v>11</v>
      </c>
      <c r="D193" s="1">
        <v>49.9</v>
      </c>
      <c r="E193" s="1">
        <v>96.899999999999849</v>
      </c>
      <c r="F193" s="1">
        <v>96.899999999999849</v>
      </c>
    </row>
    <row r="194" spans="1:6">
      <c r="A194">
        <v>834</v>
      </c>
      <c r="B194" t="s">
        <v>242</v>
      </c>
      <c r="C194" s="2">
        <v>26</v>
      </c>
      <c r="D194" s="1">
        <v>0</v>
      </c>
      <c r="E194" s="1">
        <v>2.4671622769447919E-16</v>
      </c>
      <c r="F194" s="1">
        <v>38.504012666666647</v>
      </c>
    </row>
    <row r="195" spans="1:6">
      <c r="A195">
        <v>840</v>
      </c>
      <c r="B195" t="s">
        <v>243</v>
      </c>
      <c r="C195" s="2">
        <v>2</v>
      </c>
      <c r="D195" s="1">
        <v>43.574399999999997</v>
      </c>
      <c r="E195" s="1">
        <v>87.240249868977187</v>
      </c>
      <c r="F195" s="1">
        <v>97.517214409291171</v>
      </c>
    </row>
    <row r="196" spans="1:6">
      <c r="A196">
        <v>850</v>
      </c>
      <c r="B196" t="s">
        <v>244</v>
      </c>
      <c r="C196" s="2">
        <v>4</v>
      </c>
      <c r="D196" s="1">
        <v>0</v>
      </c>
      <c r="E196" s="1">
        <v>7.8949192862233342E-15</v>
      </c>
      <c r="F196" s="1">
        <v>96.330332250466199</v>
      </c>
    </row>
    <row r="197" spans="1:6">
      <c r="A197">
        <v>854</v>
      </c>
      <c r="B197" t="s">
        <v>245</v>
      </c>
      <c r="C197" s="2">
        <v>8</v>
      </c>
      <c r="D197" s="1">
        <v>0</v>
      </c>
      <c r="E197" s="1">
        <v>0</v>
      </c>
      <c r="F197" s="1">
        <v>0</v>
      </c>
    </row>
    <row r="198" spans="1:6">
      <c r="A198">
        <v>858</v>
      </c>
      <c r="B198" t="s">
        <v>246</v>
      </c>
      <c r="C198" s="2">
        <v>6</v>
      </c>
      <c r="D198" s="1">
        <v>0</v>
      </c>
      <c r="E198" s="1">
        <v>0</v>
      </c>
      <c r="F198" s="1">
        <v>24.404768816163322</v>
      </c>
    </row>
    <row r="199" spans="1:6">
      <c r="A199">
        <v>860</v>
      </c>
      <c r="B199" t="s">
        <v>247</v>
      </c>
      <c r="C199" s="2">
        <v>15</v>
      </c>
      <c r="D199" s="1">
        <v>0</v>
      </c>
      <c r="E199" s="1">
        <v>3.9474596431116671E-15</v>
      </c>
      <c r="F199" s="1">
        <v>36.989948448695593</v>
      </c>
    </row>
    <row r="200" spans="1:6">
      <c r="A200">
        <v>862</v>
      </c>
      <c r="B200" t="s">
        <v>248</v>
      </c>
      <c r="C200" s="2">
        <v>6</v>
      </c>
      <c r="D200" s="1">
        <v>0</v>
      </c>
      <c r="E200" s="1">
        <v>0</v>
      </c>
      <c r="F200" s="1">
        <v>84.462868294736296</v>
      </c>
    </row>
    <row r="201" spans="1:6">
      <c r="A201">
        <v>882</v>
      </c>
      <c r="B201" t="s">
        <v>249</v>
      </c>
      <c r="C201" s="2">
        <v>24</v>
      </c>
      <c r="D201" s="1">
        <v>0</v>
      </c>
      <c r="E201" s="1">
        <v>0</v>
      </c>
      <c r="F201" s="1">
        <v>7.9203253197152783</v>
      </c>
    </row>
    <row r="202" spans="1:6">
      <c r="A202">
        <v>887</v>
      </c>
      <c r="B202" t="s">
        <v>250</v>
      </c>
      <c r="C202" s="2">
        <v>17</v>
      </c>
      <c r="D202" s="1">
        <v>0</v>
      </c>
      <c r="E202" s="1">
        <v>0</v>
      </c>
      <c r="F202" s="1">
        <v>7.8949192862233342E-15</v>
      </c>
    </row>
    <row r="203" spans="1:6">
      <c r="A203">
        <v>891</v>
      </c>
      <c r="B203" t="s">
        <v>251</v>
      </c>
      <c r="C203" s="2">
        <v>12</v>
      </c>
      <c r="D203" s="1">
        <v>1.2</v>
      </c>
      <c r="E203" s="1">
        <v>1.91</v>
      </c>
      <c r="F203" s="1">
        <v>21.635493268859527</v>
      </c>
    </row>
    <row r="204" spans="1:6">
      <c r="A204">
        <v>894</v>
      </c>
      <c r="B204" t="s">
        <v>252</v>
      </c>
      <c r="C204" s="2">
        <v>26</v>
      </c>
      <c r="D204" s="1">
        <v>0</v>
      </c>
      <c r="E204" s="1">
        <v>0</v>
      </c>
      <c r="F204" s="1">
        <v>87.428999999999988</v>
      </c>
    </row>
  </sheetData>
  <pageMargins left="0.7" right="0.7" top="0.75" bottom="0.75" header="0.3" footer="0.3"/>
  <customProperties>
    <customPr name="EpmWorksheetKeyString_GUID" r:id="rId1"/>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1C31B-75D7-465D-B9CA-6F576264C082}">
  <dimension ref="A1:T204"/>
  <sheetViews>
    <sheetView workbookViewId="0"/>
  </sheetViews>
  <sheetFormatPr defaultRowHeight="15"/>
  <sheetData>
    <row r="1" spans="1:20">
      <c r="A1" t="s">
        <v>44</v>
      </c>
      <c r="B1" t="s">
        <v>265</v>
      </c>
      <c r="C1" t="s">
        <v>46</v>
      </c>
    </row>
    <row r="2" spans="1:20">
      <c r="A2" t="s">
        <v>44</v>
      </c>
      <c r="B2" t="s">
        <v>35</v>
      </c>
    </row>
    <row r="3" spans="1:20">
      <c r="A3" t="s">
        <v>44</v>
      </c>
      <c r="D3" t="s">
        <v>275</v>
      </c>
      <c r="E3" t="s">
        <v>276</v>
      </c>
      <c r="F3" t="s">
        <v>277</v>
      </c>
    </row>
    <row r="4" spans="1:20">
      <c r="A4" t="s">
        <v>50</v>
      </c>
      <c r="B4" t="s">
        <v>51</v>
      </c>
      <c r="C4" t="s">
        <v>52</v>
      </c>
      <c r="D4">
        <v>2010</v>
      </c>
      <c r="E4">
        <v>2050</v>
      </c>
      <c r="F4">
        <v>2100</v>
      </c>
    </row>
    <row r="5" spans="1:20">
      <c r="A5">
        <v>4</v>
      </c>
      <c r="B5" t="s">
        <v>53</v>
      </c>
      <c r="C5" s="2">
        <v>25</v>
      </c>
      <c r="D5" s="1">
        <v>0</v>
      </c>
      <c r="E5" s="1">
        <v>0</v>
      </c>
      <c r="F5" s="1">
        <v>0</v>
      </c>
      <c r="H5" s="1"/>
      <c r="I5" s="1"/>
      <c r="J5" s="1"/>
      <c r="K5" s="1"/>
      <c r="L5" s="1"/>
      <c r="M5" s="1"/>
      <c r="N5" s="1"/>
      <c r="O5" s="1"/>
      <c r="P5" s="1"/>
      <c r="Q5" s="1"/>
      <c r="R5" s="1"/>
      <c r="S5" s="1"/>
      <c r="T5" s="1"/>
    </row>
    <row r="6" spans="1:20">
      <c r="A6">
        <v>8</v>
      </c>
      <c r="B6" t="s">
        <v>54</v>
      </c>
      <c r="C6" s="2">
        <v>12</v>
      </c>
      <c r="D6" s="1">
        <v>0</v>
      </c>
      <c r="E6" s="1">
        <v>0</v>
      </c>
      <c r="F6" s="1">
        <v>1.0658141036401503E-13</v>
      </c>
    </row>
    <row r="7" spans="1:20">
      <c r="A7">
        <v>12</v>
      </c>
      <c r="B7" t="s">
        <v>55</v>
      </c>
      <c r="C7" s="2">
        <v>7</v>
      </c>
      <c r="D7" s="1">
        <v>0</v>
      </c>
      <c r="E7" s="1">
        <v>0</v>
      </c>
      <c r="F7" s="1">
        <v>0</v>
      </c>
    </row>
    <row r="8" spans="1:20">
      <c r="A8">
        <v>16</v>
      </c>
      <c r="B8" t="s">
        <v>56</v>
      </c>
      <c r="C8" s="2">
        <v>24</v>
      </c>
      <c r="D8" s="1">
        <v>0</v>
      </c>
      <c r="E8" s="1">
        <v>0</v>
      </c>
      <c r="F8" s="1">
        <v>2.8421709430404007E-13</v>
      </c>
    </row>
    <row r="9" spans="1:20">
      <c r="A9">
        <v>20</v>
      </c>
      <c r="B9" t="s">
        <v>57</v>
      </c>
      <c r="C9" s="2">
        <v>11</v>
      </c>
      <c r="D9" s="1">
        <v>0</v>
      </c>
      <c r="E9" s="1">
        <v>7.1054273576010019E-14</v>
      </c>
      <c r="F9" s="1">
        <v>7.1054273576010019E-14</v>
      </c>
    </row>
    <row r="10" spans="1:20">
      <c r="A10">
        <v>24</v>
      </c>
      <c r="B10" t="s">
        <v>58</v>
      </c>
      <c r="C10" s="2">
        <v>26</v>
      </c>
      <c r="D10" s="1">
        <v>0</v>
      </c>
      <c r="E10" s="1">
        <v>0</v>
      </c>
      <c r="F10" s="1">
        <v>0</v>
      </c>
    </row>
    <row r="11" spans="1:20">
      <c r="A11">
        <v>31</v>
      </c>
      <c r="B11" t="s">
        <v>59</v>
      </c>
      <c r="C11" s="2">
        <v>16</v>
      </c>
      <c r="D11" s="1">
        <v>0</v>
      </c>
      <c r="E11" s="1">
        <v>0</v>
      </c>
      <c r="F11" s="1">
        <v>7.1054273576010019E-14</v>
      </c>
    </row>
    <row r="12" spans="1:20">
      <c r="A12">
        <v>32</v>
      </c>
      <c r="B12" t="s">
        <v>60</v>
      </c>
      <c r="C12" s="2">
        <v>6</v>
      </c>
      <c r="D12" s="1">
        <v>0</v>
      </c>
      <c r="E12" s="1">
        <v>0</v>
      </c>
      <c r="F12" s="1">
        <v>0</v>
      </c>
    </row>
    <row r="13" spans="1:20">
      <c r="A13">
        <v>36</v>
      </c>
      <c r="B13" t="s">
        <v>61</v>
      </c>
      <c r="C13" s="2">
        <v>24</v>
      </c>
      <c r="D13" s="1">
        <v>0</v>
      </c>
      <c r="E13" s="1">
        <v>0</v>
      </c>
      <c r="F13" s="1">
        <v>1.4210854715202004E-13</v>
      </c>
    </row>
    <row r="14" spans="1:20">
      <c r="A14">
        <v>40</v>
      </c>
      <c r="B14" t="s">
        <v>62</v>
      </c>
      <c r="C14" s="2">
        <v>11</v>
      </c>
      <c r="D14" s="1">
        <v>0</v>
      </c>
      <c r="E14" s="1">
        <v>0</v>
      </c>
      <c r="F14" s="1">
        <v>2.8421709430404007E-13</v>
      </c>
    </row>
    <row r="15" spans="1:20">
      <c r="A15">
        <v>44</v>
      </c>
      <c r="B15" t="s">
        <v>63</v>
      </c>
      <c r="C15" s="2">
        <v>4</v>
      </c>
      <c r="D15" s="1">
        <v>0</v>
      </c>
      <c r="E15" s="1">
        <v>0</v>
      </c>
      <c r="F15" s="1">
        <v>1.0658141036401503E-13</v>
      </c>
    </row>
    <row r="16" spans="1:20">
      <c r="A16">
        <v>48</v>
      </c>
      <c r="B16" t="s">
        <v>64</v>
      </c>
      <c r="C16" s="2">
        <v>17</v>
      </c>
      <c r="D16" s="1">
        <v>0</v>
      </c>
      <c r="E16" s="1">
        <v>0</v>
      </c>
      <c r="F16" s="1">
        <v>0</v>
      </c>
    </row>
    <row r="17" spans="1:6">
      <c r="A17">
        <v>50</v>
      </c>
      <c r="B17" t="s">
        <v>65</v>
      </c>
      <c r="C17" s="2">
        <v>25</v>
      </c>
      <c r="D17" s="1">
        <v>0</v>
      </c>
      <c r="E17" s="1">
        <v>0</v>
      </c>
      <c r="F17" s="1">
        <v>0</v>
      </c>
    </row>
    <row r="18" spans="1:6">
      <c r="A18">
        <v>51</v>
      </c>
      <c r="B18" t="s">
        <v>66</v>
      </c>
      <c r="C18" s="2">
        <v>16</v>
      </c>
      <c r="D18" s="1">
        <v>0</v>
      </c>
      <c r="E18" s="1">
        <v>0</v>
      </c>
      <c r="F18" s="1">
        <v>0</v>
      </c>
    </row>
    <row r="19" spans="1:6">
      <c r="A19">
        <v>52</v>
      </c>
      <c r="B19" t="s">
        <v>67</v>
      </c>
      <c r="C19" s="2">
        <v>4</v>
      </c>
      <c r="D19" s="1">
        <v>0</v>
      </c>
      <c r="E19" s="1">
        <v>0</v>
      </c>
      <c r="F19" s="1">
        <v>0</v>
      </c>
    </row>
    <row r="20" spans="1:6">
      <c r="A20">
        <v>56</v>
      </c>
      <c r="B20" t="s">
        <v>68</v>
      </c>
      <c r="C20" s="2">
        <v>11</v>
      </c>
      <c r="D20" s="1">
        <v>0</v>
      </c>
      <c r="E20" s="1">
        <v>0</v>
      </c>
      <c r="F20" s="1">
        <v>0</v>
      </c>
    </row>
    <row r="21" spans="1:6">
      <c r="A21">
        <v>64</v>
      </c>
      <c r="B21" t="s">
        <v>69</v>
      </c>
      <c r="C21" s="2">
        <v>25</v>
      </c>
      <c r="D21" s="1">
        <v>0</v>
      </c>
      <c r="E21" s="1">
        <v>0</v>
      </c>
      <c r="F21" s="1">
        <v>0</v>
      </c>
    </row>
    <row r="22" spans="1:6">
      <c r="A22">
        <v>68</v>
      </c>
      <c r="B22" t="s">
        <v>70</v>
      </c>
      <c r="C22" s="2">
        <v>6</v>
      </c>
      <c r="D22" s="1">
        <v>0</v>
      </c>
      <c r="E22" s="1">
        <v>0</v>
      </c>
      <c r="F22" s="1">
        <v>7.1054273576010019E-14</v>
      </c>
    </row>
    <row r="23" spans="1:6">
      <c r="A23">
        <v>70</v>
      </c>
      <c r="B23" t="s">
        <v>71</v>
      </c>
      <c r="C23" s="2">
        <v>12</v>
      </c>
      <c r="D23" s="1">
        <v>0</v>
      </c>
      <c r="E23" s="1">
        <v>0</v>
      </c>
      <c r="F23" s="1">
        <v>1.4210854715202004E-13</v>
      </c>
    </row>
    <row r="24" spans="1:6">
      <c r="A24">
        <v>72</v>
      </c>
      <c r="B24" t="s">
        <v>72</v>
      </c>
      <c r="C24" s="2">
        <v>26</v>
      </c>
      <c r="D24" s="1">
        <v>0</v>
      </c>
      <c r="E24" s="1">
        <v>8.8817841970012523E-15</v>
      </c>
      <c r="F24" s="1">
        <v>4.4408920985006262E-14</v>
      </c>
    </row>
    <row r="25" spans="1:6">
      <c r="A25">
        <v>76</v>
      </c>
      <c r="B25" t="s">
        <v>73</v>
      </c>
      <c r="C25" s="2">
        <v>5</v>
      </c>
      <c r="D25" s="1">
        <v>0</v>
      </c>
      <c r="E25" s="1">
        <v>0</v>
      </c>
      <c r="F25" s="1">
        <v>7.1054273576010019E-14</v>
      </c>
    </row>
    <row r="26" spans="1:6">
      <c r="A26">
        <v>84</v>
      </c>
      <c r="B26" t="s">
        <v>74</v>
      </c>
      <c r="C26" s="2">
        <v>4</v>
      </c>
      <c r="D26" s="1">
        <v>0</v>
      </c>
      <c r="E26" s="1">
        <v>1.7763568394002505E-14</v>
      </c>
      <c r="F26" s="1">
        <v>8.8817841970012523E-14</v>
      </c>
    </row>
    <row r="27" spans="1:6">
      <c r="A27">
        <v>90</v>
      </c>
      <c r="B27" t="s">
        <v>75</v>
      </c>
      <c r="C27" s="2">
        <v>24</v>
      </c>
      <c r="D27" s="1">
        <v>0</v>
      </c>
      <c r="E27" s="1">
        <v>0</v>
      </c>
      <c r="F27" s="1">
        <v>0</v>
      </c>
    </row>
    <row r="28" spans="1:6">
      <c r="A28">
        <v>96</v>
      </c>
      <c r="B28" t="s">
        <v>76</v>
      </c>
      <c r="C28" s="2">
        <v>21</v>
      </c>
      <c r="D28" s="1">
        <v>0</v>
      </c>
      <c r="E28" s="1">
        <v>0</v>
      </c>
      <c r="F28" s="1">
        <v>0</v>
      </c>
    </row>
    <row r="29" spans="1:6">
      <c r="A29">
        <v>100</v>
      </c>
      <c r="B29" t="s">
        <v>77</v>
      </c>
      <c r="C29" s="2">
        <v>12</v>
      </c>
      <c r="D29" s="1">
        <v>0</v>
      </c>
      <c r="E29" s="1">
        <v>0</v>
      </c>
      <c r="F29" s="1">
        <v>4.2632564145606011E-13</v>
      </c>
    </row>
    <row r="30" spans="1:6">
      <c r="A30">
        <v>104</v>
      </c>
      <c r="B30" t="s">
        <v>78</v>
      </c>
      <c r="C30" s="2">
        <v>21</v>
      </c>
      <c r="D30" s="1">
        <v>0</v>
      </c>
      <c r="E30" s="1">
        <v>0</v>
      </c>
      <c r="F30" s="1">
        <v>0</v>
      </c>
    </row>
    <row r="31" spans="1:6">
      <c r="A31">
        <v>108</v>
      </c>
      <c r="B31" t="s">
        <v>79</v>
      </c>
      <c r="C31" s="2">
        <v>9</v>
      </c>
      <c r="D31" s="1">
        <v>0</v>
      </c>
      <c r="E31" s="1">
        <v>0</v>
      </c>
      <c r="F31" s="1">
        <v>7.1054273576010019E-14</v>
      </c>
    </row>
    <row r="32" spans="1:6">
      <c r="A32">
        <v>112</v>
      </c>
      <c r="B32" t="s">
        <v>80</v>
      </c>
      <c r="C32" s="2">
        <v>14</v>
      </c>
      <c r="D32" s="1">
        <v>0</v>
      </c>
      <c r="E32" s="1">
        <v>0</v>
      </c>
      <c r="F32" s="1">
        <v>2.1316282072803006E-13</v>
      </c>
    </row>
    <row r="33" spans="1:6">
      <c r="A33">
        <v>116</v>
      </c>
      <c r="B33" t="s">
        <v>81</v>
      </c>
      <c r="C33" s="2">
        <v>21</v>
      </c>
      <c r="D33" s="1">
        <v>0</v>
      </c>
      <c r="E33" s="1">
        <v>0</v>
      </c>
      <c r="F33" s="1">
        <v>0</v>
      </c>
    </row>
    <row r="34" spans="1:6">
      <c r="A34">
        <v>120</v>
      </c>
      <c r="B34" t="s">
        <v>82</v>
      </c>
      <c r="C34" s="2">
        <v>8</v>
      </c>
      <c r="D34" s="1">
        <v>0</v>
      </c>
      <c r="E34" s="1">
        <v>0</v>
      </c>
      <c r="F34" s="1">
        <v>8.9434632539248707E-15</v>
      </c>
    </row>
    <row r="35" spans="1:6">
      <c r="A35">
        <v>124</v>
      </c>
      <c r="B35" t="s">
        <v>83</v>
      </c>
      <c r="C35" s="2">
        <v>1</v>
      </c>
      <c r="D35" s="1">
        <v>0</v>
      </c>
      <c r="E35" s="1">
        <v>0</v>
      </c>
      <c r="F35" s="1">
        <v>1.4210854715202004E-13</v>
      </c>
    </row>
    <row r="36" spans="1:6">
      <c r="A36">
        <v>132</v>
      </c>
      <c r="B36" t="s">
        <v>84</v>
      </c>
      <c r="C36" s="2">
        <v>8</v>
      </c>
      <c r="D36" s="1">
        <v>0</v>
      </c>
      <c r="E36" s="1">
        <v>0</v>
      </c>
      <c r="F36" s="1">
        <v>0</v>
      </c>
    </row>
    <row r="37" spans="1:6">
      <c r="A37">
        <v>140</v>
      </c>
      <c r="B37" t="s">
        <v>85</v>
      </c>
      <c r="C37" s="2">
        <v>8</v>
      </c>
      <c r="D37" s="1">
        <v>0</v>
      </c>
      <c r="E37" s="1">
        <v>0</v>
      </c>
      <c r="F37" s="1">
        <v>0</v>
      </c>
    </row>
    <row r="38" spans="1:6">
      <c r="A38">
        <v>144</v>
      </c>
      <c r="B38" t="s">
        <v>86</v>
      </c>
      <c r="C38" s="2">
        <v>25</v>
      </c>
      <c r="D38" s="1">
        <v>0</v>
      </c>
      <c r="E38" s="1">
        <v>0</v>
      </c>
      <c r="F38" s="1">
        <v>7.1054273576010019E-14</v>
      </c>
    </row>
    <row r="39" spans="1:6">
      <c r="A39">
        <v>148</v>
      </c>
      <c r="B39" t="s">
        <v>87</v>
      </c>
      <c r="C39" s="2">
        <v>8</v>
      </c>
      <c r="D39" s="1">
        <v>0</v>
      </c>
      <c r="E39" s="1">
        <v>0</v>
      </c>
      <c r="F39" s="1">
        <v>0</v>
      </c>
    </row>
    <row r="40" spans="1:6">
      <c r="A40">
        <v>152</v>
      </c>
      <c r="B40" t="s">
        <v>88</v>
      </c>
      <c r="C40" s="2">
        <v>6</v>
      </c>
      <c r="D40" s="1">
        <v>0</v>
      </c>
      <c r="E40" s="1">
        <v>0</v>
      </c>
      <c r="F40" s="1">
        <v>7.1054273576010019E-14</v>
      </c>
    </row>
    <row r="41" spans="1:6">
      <c r="A41">
        <v>156</v>
      </c>
      <c r="B41" t="s">
        <v>89</v>
      </c>
      <c r="C41" s="2">
        <v>20</v>
      </c>
      <c r="D41" s="1">
        <v>0</v>
      </c>
      <c r="E41" s="1">
        <v>0</v>
      </c>
      <c r="F41" s="1">
        <v>2.8421709430404007E-13</v>
      </c>
    </row>
    <row r="42" spans="1:6">
      <c r="A42">
        <v>158</v>
      </c>
      <c r="B42" t="s">
        <v>90</v>
      </c>
      <c r="C42" s="2">
        <v>20</v>
      </c>
      <c r="D42" s="1">
        <v>0</v>
      </c>
      <c r="E42" s="1">
        <v>2.8421709430404007E-13</v>
      </c>
      <c r="F42" s="1">
        <v>4.2632564145606011E-13</v>
      </c>
    </row>
    <row r="43" spans="1:6">
      <c r="A43">
        <v>170</v>
      </c>
      <c r="B43" t="s">
        <v>91</v>
      </c>
      <c r="C43" s="2">
        <v>6</v>
      </c>
      <c r="D43" s="1">
        <v>0</v>
      </c>
      <c r="E43" s="1">
        <v>0</v>
      </c>
      <c r="F43" s="1">
        <v>7.1054273576010019E-14</v>
      </c>
    </row>
    <row r="44" spans="1:6">
      <c r="A44">
        <v>174</v>
      </c>
      <c r="B44" t="s">
        <v>92</v>
      </c>
      <c r="C44" s="2">
        <v>9</v>
      </c>
      <c r="D44" s="1">
        <v>0</v>
      </c>
      <c r="E44" s="1">
        <v>0</v>
      </c>
      <c r="F44" s="1">
        <v>0</v>
      </c>
    </row>
    <row r="45" spans="1:6">
      <c r="A45">
        <v>178</v>
      </c>
      <c r="B45" t="s">
        <v>93</v>
      </c>
      <c r="C45" s="2">
        <v>8</v>
      </c>
      <c r="D45" s="1">
        <v>0</v>
      </c>
      <c r="E45" s="1">
        <v>0</v>
      </c>
      <c r="F45" s="1">
        <v>7.1054273576010019E-14</v>
      </c>
    </row>
    <row r="46" spans="1:6">
      <c r="A46">
        <v>180</v>
      </c>
      <c r="B46" t="s">
        <v>94</v>
      </c>
      <c r="C46" s="2">
        <v>8</v>
      </c>
      <c r="D46" s="1">
        <v>0</v>
      </c>
      <c r="E46" s="1">
        <v>0</v>
      </c>
      <c r="F46" s="1">
        <v>0</v>
      </c>
    </row>
    <row r="47" spans="1:6">
      <c r="A47">
        <v>188</v>
      </c>
      <c r="B47" t="s">
        <v>95</v>
      </c>
      <c r="C47" s="2">
        <v>4</v>
      </c>
      <c r="D47" s="1">
        <v>0</v>
      </c>
      <c r="E47" s="1">
        <v>0</v>
      </c>
      <c r="F47" s="1">
        <v>1.4210854715202004E-13</v>
      </c>
    </row>
    <row r="48" spans="1:6">
      <c r="A48">
        <v>191</v>
      </c>
      <c r="B48" t="s">
        <v>96</v>
      </c>
      <c r="C48" s="2">
        <v>12</v>
      </c>
      <c r="D48" s="1">
        <v>0</v>
      </c>
      <c r="E48" s="1">
        <v>0</v>
      </c>
      <c r="F48" s="1">
        <v>1.4210854715202004E-13</v>
      </c>
    </row>
    <row r="49" spans="1:6">
      <c r="A49">
        <v>192</v>
      </c>
      <c r="B49" t="s">
        <v>97</v>
      </c>
      <c r="C49" s="2">
        <v>4</v>
      </c>
      <c r="D49" s="1">
        <v>0</v>
      </c>
      <c r="E49" s="1">
        <v>0</v>
      </c>
      <c r="F49" s="1">
        <v>0</v>
      </c>
    </row>
    <row r="50" spans="1:6">
      <c r="A50">
        <v>196</v>
      </c>
      <c r="B50" t="s">
        <v>98</v>
      </c>
      <c r="C50" s="2">
        <v>12</v>
      </c>
      <c r="D50" s="1">
        <v>0</v>
      </c>
      <c r="E50" s="1">
        <v>0</v>
      </c>
      <c r="F50" s="1">
        <v>0</v>
      </c>
    </row>
    <row r="51" spans="1:6">
      <c r="A51">
        <v>203</v>
      </c>
      <c r="B51" t="s">
        <v>99</v>
      </c>
      <c r="C51" s="2">
        <v>12</v>
      </c>
      <c r="D51" s="1">
        <v>0</v>
      </c>
      <c r="E51" s="1">
        <v>0</v>
      </c>
      <c r="F51" s="1">
        <v>0</v>
      </c>
    </row>
    <row r="52" spans="1:6">
      <c r="A52">
        <v>204</v>
      </c>
      <c r="B52" t="s">
        <v>100</v>
      </c>
      <c r="C52" s="2">
        <v>8</v>
      </c>
      <c r="D52" s="1">
        <v>0</v>
      </c>
      <c r="E52" s="1">
        <v>0</v>
      </c>
      <c r="F52" s="1">
        <v>0</v>
      </c>
    </row>
    <row r="53" spans="1:6">
      <c r="A53">
        <v>208</v>
      </c>
      <c r="B53" t="s">
        <v>101</v>
      </c>
      <c r="C53" s="2">
        <v>11</v>
      </c>
      <c r="D53" s="1">
        <v>0</v>
      </c>
      <c r="E53" s="1">
        <v>0</v>
      </c>
      <c r="F53" s="1">
        <v>1.4210854715202004E-13</v>
      </c>
    </row>
    <row r="54" spans="1:6">
      <c r="A54">
        <v>212</v>
      </c>
      <c r="B54" t="s">
        <v>102</v>
      </c>
      <c r="C54" s="2">
        <v>4</v>
      </c>
      <c r="D54" s="1">
        <v>0</v>
      </c>
      <c r="E54" s="1">
        <v>0</v>
      </c>
      <c r="F54" s="1">
        <v>0</v>
      </c>
    </row>
    <row r="55" spans="1:6">
      <c r="A55">
        <v>214</v>
      </c>
      <c r="B55" t="s">
        <v>103</v>
      </c>
      <c r="C55" s="2">
        <v>4</v>
      </c>
      <c r="D55" s="1">
        <v>0</v>
      </c>
      <c r="E55" s="1">
        <v>3.5527136788005009E-14</v>
      </c>
      <c r="F55" s="1">
        <v>1.7763568394002505E-13</v>
      </c>
    </row>
    <row r="56" spans="1:6">
      <c r="A56">
        <v>218</v>
      </c>
      <c r="B56" t="s">
        <v>104</v>
      </c>
      <c r="C56" s="2">
        <v>6</v>
      </c>
      <c r="D56" s="1">
        <v>0</v>
      </c>
      <c r="E56" s="1">
        <v>0</v>
      </c>
      <c r="F56" s="1">
        <v>7.1054273576010019E-14</v>
      </c>
    </row>
    <row r="57" spans="1:6">
      <c r="A57">
        <v>222</v>
      </c>
      <c r="B57" t="s">
        <v>105</v>
      </c>
      <c r="C57" s="2">
        <v>4</v>
      </c>
      <c r="D57" s="1">
        <v>0</v>
      </c>
      <c r="E57" s="1">
        <v>0</v>
      </c>
      <c r="F57" s="1">
        <v>7.1054273576010019E-14</v>
      </c>
    </row>
    <row r="58" spans="1:6">
      <c r="A58">
        <v>226</v>
      </c>
      <c r="B58" t="s">
        <v>106</v>
      </c>
      <c r="C58" s="2">
        <v>8</v>
      </c>
      <c r="D58" s="1">
        <v>0</v>
      </c>
      <c r="E58" s="1">
        <v>0</v>
      </c>
      <c r="F58" s="1">
        <v>0</v>
      </c>
    </row>
    <row r="59" spans="1:6">
      <c r="A59">
        <v>231</v>
      </c>
      <c r="B59" t="s">
        <v>107</v>
      </c>
      <c r="C59" s="2">
        <v>9</v>
      </c>
      <c r="D59" s="1">
        <v>0</v>
      </c>
      <c r="E59" s="1">
        <v>0</v>
      </c>
      <c r="F59" s="1">
        <v>0</v>
      </c>
    </row>
    <row r="60" spans="1:6">
      <c r="A60">
        <v>232</v>
      </c>
      <c r="B60" t="s">
        <v>108</v>
      </c>
      <c r="C60" s="2">
        <v>9</v>
      </c>
      <c r="D60" s="1">
        <v>0</v>
      </c>
      <c r="E60" s="1">
        <v>0</v>
      </c>
      <c r="F60" s="1">
        <v>0</v>
      </c>
    </row>
    <row r="61" spans="1:6">
      <c r="A61">
        <v>233</v>
      </c>
      <c r="B61" t="s">
        <v>109</v>
      </c>
      <c r="C61" s="2">
        <v>12</v>
      </c>
      <c r="D61" s="1">
        <v>0</v>
      </c>
      <c r="E61" s="1">
        <v>0</v>
      </c>
      <c r="F61" s="1">
        <v>0</v>
      </c>
    </row>
    <row r="62" spans="1:6">
      <c r="A62">
        <v>234</v>
      </c>
      <c r="B62" t="s">
        <v>110</v>
      </c>
      <c r="C62" s="2">
        <v>11</v>
      </c>
      <c r="D62" s="1">
        <v>0</v>
      </c>
      <c r="E62" s="1">
        <v>7.1054273576010019E-14</v>
      </c>
      <c r="F62" s="1">
        <v>7.1054273576010019E-14</v>
      </c>
    </row>
    <row r="63" spans="1:6">
      <c r="A63">
        <v>238</v>
      </c>
      <c r="B63" t="s">
        <v>111</v>
      </c>
      <c r="C63" s="2">
        <v>6</v>
      </c>
      <c r="D63" s="1">
        <v>0</v>
      </c>
      <c r="E63" s="1">
        <v>0</v>
      </c>
      <c r="F63" s="1">
        <v>7.1054273576010019E-14</v>
      </c>
    </row>
    <row r="64" spans="1:6">
      <c r="A64">
        <v>242</v>
      </c>
      <c r="B64" t="s">
        <v>112</v>
      </c>
      <c r="C64" s="2">
        <v>24</v>
      </c>
      <c r="D64" s="1">
        <v>0</v>
      </c>
      <c r="E64" s="1">
        <v>0</v>
      </c>
      <c r="F64" s="1">
        <v>0</v>
      </c>
    </row>
    <row r="65" spans="1:6">
      <c r="A65">
        <v>246</v>
      </c>
      <c r="B65" t="s">
        <v>113</v>
      </c>
      <c r="C65" s="2">
        <v>11</v>
      </c>
      <c r="D65" s="1">
        <v>0</v>
      </c>
      <c r="E65" s="1">
        <v>1.4210854715202004E-13</v>
      </c>
      <c r="F65" s="1">
        <v>4.2632564145606011E-13</v>
      </c>
    </row>
    <row r="66" spans="1:6">
      <c r="A66">
        <v>250</v>
      </c>
      <c r="B66" t="s">
        <v>114</v>
      </c>
      <c r="C66" s="2">
        <v>11</v>
      </c>
      <c r="D66" s="1">
        <v>0</v>
      </c>
      <c r="E66" s="1">
        <v>0</v>
      </c>
      <c r="F66" s="1">
        <v>2.8421709430404007E-13</v>
      </c>
    </row>
    <row r="67" spans="1:6">
      <c r="A67">
        <v>254</v>
      </c>
      <c r="B67" t="s">
        <v>115</v>
      </c>
      <c r="C67" s="2">
        <v>6</v>
      </c>
      <c r="D67" s="1">
        <v>0</v>
      </c>
      <c r="E67" s="1">
        <v>0</v>
      </c>
      <c r="F67" s="1">
        <v>1.4210854715202004E-13</v>
      </c>
    </row>
    <row r="68" spans="1:6">
      <c r="A68">
        <v>262</v>
      </c>
      <c r="B68" t="s">
        <v>116</v>
      </c>
      <c r="C68" s="2">
        <v>9</v>
      </c>
      <c r="D68" s="1">
        <v>0</v>
      </c>
      <c r="E68" s="1">
        <v>0</v>
      </c>
      <c r="F68" s="1">
        <v>3.5527136788005009E-14</v>
      </c>
    </row>
    <row r="69" spans="1:6">
      <c r="A69">
        <v>266</v>
      </c>
      <c r="B69" t="s">
        <v>117</v>
      </c>
      <c r="C69" s="2">
        <v>8</v>
      </c>
      <c r="D69" s="1">
        <v>0</v>
      </c>
      <c r="E69" s="1">
        <v>0</v>
      </c>
      <c r="F69" s="1">
        <v>0</v>
      </c>
    </row>
    <row r="70" spans="1:6">
      <c r="A70">
        <v>268</v>
      </c>
      <c r="B70" t="s">
        <v>118</v>
      </c>
      <c r="C70" s="2">
        <v>16</v>
      </c>
      <c r="D70" s="1">
        <v>0</v>
      </c>
      <c r="E70" s="1">
        <v>0</v>
      </c>
      <c r="F70" s="1">
        <v>0</v>
      </c>
    </row>
    <row r="71" spans="1:6">
      <c r="A71">
        <v>270</v>
      </c>
      <c r="B71" t="s">
        <v>119</v>
      </c>
      <c r="C71" s="2">
        <v>8</v>
      </c>
      <c r="D71" s="1">
        <v>0</v>
      </c>
      <c r="E71" s="1">
        <v>0</v>
      </c>
      <c r="F71" s="1">
        <v>0</v>
      </c>
    </row>
    <row r="72" spans="1:6">
      <c r="A72">
        <v>276</v>
      </c>
      <c r="B72" t="s">
        <v>120</v>
      </c>
      <c r="C72" s="2">
        <v>11</v>
      </c>
      <c r="D72" s="1">
        <v>0</v>
      </c>
      <c r="E72" s="1">
        <v>1.4210854715202004E-13</v>
      </c>
      <c r="F72" s="1">
        <v>1.4210854715202004E-13</v>
      </c>
    </row>
    <row r="73" spans="1:6">
      <c r="A73">
        <v>288</v>
      </c>
      <c r="B73" t="s">
        <v>121</v>
      </c>
      <c r="C73" s="2">
        <v>8</v>
      </c>
      <c r="D73" s="1">
        <v>0</v>
      </c>
      <c r="E73" s="1">
        <v>0</v>
      </c>
      <c r="F73" s="1">
        <v>0</v>
      </c>
    </row>
    <row r="74" spans="1:6">
      <c r="A74">
        <v>300</v>
      </c>
      <c r="B74" t="s">
        <v>122</v>
      </c>
      <c r="C74" s="2">
        <v>11</v>
      </c>
      <c r="D74" s="1">
        <v>0</v>
      </c>
      <c r="E74" s="1">
        <v>0</v>
      </c>
      <c r="F74" s="1">
        <v>4.2632564145606011E-13</v>
      </c>
    </row>
    <row r="75" spans="1:6">
      <c r="A75">
        <v>304</v>
      </c>
      <c r="B75" t="s">
        <v>123</v>
      </c>
      <c r="C75" s="2">
        <v>27</v>
      </c>
      <c r="D75" s="1">
        <v>0</v>
      </c>
      <c r="E75" s="1">
        <v>1.4210854715202004E-13</v>
      </c>
      <c r="F75" s="1">
        <v>4.2632564145606011E-13</v>
      </c>
    </row>
    <row r="76" spans="1:6">
      <c r="A76">
        <v>308</v>
      </c>
      <c r="B76" t="s">
        <v>124</v>
      </c>
      <c r="C76" s="2">
        <v>4</v>
      </c>
      <c r="D76" s="1">
        <v>0</v>
      </c>
      <c r="E76" s="1">
        <v>0</v>
      </c>
      <c r="F76" s="1">
        <v>7.1054273576010019E-14</v>
      </c>
    </row>
    <row r="77" spans="1:6">
      <c r="A77">
        <v>312</v>
      </c>
      <c r="B77" t="s">
        <v>125</v>
      </c>
      <c r="C77" s="2">
        <v>4</v>
      </c>
      <c r="D77" s="1">
        <v>0</v>
      </c>
      <c r="E77" s="1">
        <v>0</v>
      </c>
      <c r="F77" s="1">
        <v>1.4210854715202004E-13</v>
      </c>
    </row>
    <row r="78" spans="1:6">
      <c r="A78">
        <v>320</v>
      </c>
      <c r="B78" t="s">
        <v>126</v>
      </c>
      <c r="C78" s="2">
        <v>4</v>
      </c>
      <c r="D78" s="1">
        <v>0</v>
      </c>
      <c r="E78" s="1">
        <v>0</v>
      </c>
      <c r="F78" s="1">
        <v>2.1316282072803006E-13</v>
      </c>
    </row>
    <row r="79" spans="1:6">
      <c r="A79">
        <v>324</v>
      </c>
      <c r="B79" t="s">
        <v>127</v>
      </c>
      <c r="C79" s="2">
        <v>8</v>
      </c>
      <c r="D79" s="1">
        <v>0</v>
      </c>
      <c r="E79" s="1">
        <v>0</v>
      </c>
      <c r="F79" s="1">
        <v>0</v>
      </c>
    </row>
    <row r="80" spans="1:6">
      <c r="A80">
        <v>328</v>
      </c>
      <c r="B80" t="s">
        <v>128</v>
      </c>
      <c r="C80" s="2">
        <v>6</v>
      </c>
      <c r="D80" s="1">
        <v>0</v>
      </c>
      <c r="E80" s="1">
        <v>2.4671622769447919E-16</v>
      </c>
      <c r="F80" s="1">
        <v>2.4671622769447919E-16</v>
      </c>
    </row>
    <row r="81" spans="1:6">
      <c r="A81">
        <v>332</v>
      </c>
      <c r="B81" t="s">
        <v>129</v>
      </c>
      <c r="C81" s="2">
        <v>4</v>
      </c>
      <c r="D81" s="1">
        <v>0</v>
      </c>
      <c r="E81" s="1">
        <v>0</v>
      </c>
      <c r="F81" s="1">
        <v>7.1054273576010019E-14</v>
      </c>
    </row>
    <row r="82" spans="1:6">
      <c r="A82">
        <v>340</v>
      </c>
      <c r="B82" t="s">
        <v>130</v>
      </c>
      <c r="C82" s="2">
        <v>4</v>
      </c>
      <c r="D82" s="1">
        <v>0</v>
      </c>
      <c r="E82" s="1">
        <v>0</v>
      </c>
      <c r="F82" s="1">
        <v>2.8421709430404007E-13</v>
      </c>
    </row>
    <row r="83" spans="1:6">
      <c r="A83">
        <v>344</v>
      </c>
      <c r="B83" t="s">
        <v>131</v>
      </c>
      <c r="C83" s="2">
        <v>20</v>
      </c>
      <c r="D83" s="1">
        <v>0</v>
      </c>
      <c r="E83" s="1">
        <v>1.4210854715202004E-13</v>
      </c>
      <c r="F83" s="1">
        <v>1.4210854715202004E-13</v>
      </c>
    </row>
    <row r="84" spans="1:6">
      <c r="A84">
        <v>348</v>
      </c>
      <c r="B84" t="s">
        <v>132</v>
      </c>
      <c r="C84" s="2">
        <v>12</v>
      </c>
      <c r="D84" s="1">
        <v>0</v>
      </c>
      <c r="E84" s="1">
        <v>1.4210854715202004E-13</v>
      </c>
      <c r="F84" s="1">
        <v>4.2632564145606011E-13</v>
      </c>
    </row>
    <row r="85" spans="1:6">
      <c r="A85">
        <v>352</v>
      </c>
      <c r="B85" t="s">
        <v>133</v>
      </c>
      <c r="C85" s="2">
        <v>11</v>
      </c>
      <c r="D85" s="1">
        <v>0</v>
      </c>
      <c r="E85" s="1">
        <v>0</v>
      </c>
      <c r="F85" s="1">
        <v>1.4210854715202004E-13</v>
      </c>
    </row>
    <row r="86" spans="1:6">
      <c r="A86">
        <v>356</v>
      </c>
      <c r="B86" t="s">
        <v>134</v>
      </c>
      <c r="C86" s="2">
        <v>18</v>
      </c>
      <c r="D86" s="1">
        <v>0</v>
      </c>
      <c r="E86" s="1">
        <v>0</v>
      </c>
      <c r="F86" s="1">
        <v>0</v>
      </c>
    </row>
    <row r="87" spans="1:6">
      <c r="A87">
        <v>360</v>
      </c>
      <c r="B87" t="s">
        <v>135</v>
      </c>
      <c r="C87" s="2">
        <v>22</v>
      </c>
      <c r="D87" s="1">
        <v>0</v>
      </c>
      <c r="E87" s="1">
        <v>0</v>
      </c>
      <c r="F87" s="1">
        <v>0</v>
      </c>
    </row>
    <row r="88" spans="1:6">
      <c r="A88">
        <v>364</v>
      </c>
      <c r="B88" t="s">
        <v>136</v>
      </c>
      <c r="C88" s="2">
        <v>17</v>
      </c>
      <c r="D88" s="1">
        <v>0</v>
      </c>
      <c r="E88" s="1">
        <v>0</v>
      </c>
      <c r="F88" s="1">
        <v>0</v>
      </c>
    </row>
    <row r="89" spans="1:6">
      <c r="A89">
        <v>368</v>
      </c>
      <c r="B89" t="s">
        <v>137</v>
      </c>
      <c r="C89" s="2">
        <v>17</v>
      </c>
      <c r="D89" s="1">
        <v>0</v>
      </c>
      <c r="E89" s="1">
        <v>0</v>
      </c>
      <c r="F89" s="1">
        <v>1.4210854715202004E-13</v>
      </c>
    </row>
    <row r="90" spans="1:6">
      <c r="A90">
        <v>372</v>
      </c>
      <c r="B90" t="s">
        <v>138</v>
      </c>
      <c r="C90" s="2">
        <v>11</v>
      </c>
      <c r="D90" s="1">
        <v>0</v>
      </c>
      <c r="E90" s="1">
        <v>2.1316282072803006E-13</v>
      </c>
      <c r="F90" s="1">
        <v>3.5527136788005009E-13</v>
      </c>
    </row>
    <row r="91" spans="1:6">
      <c r="A91">
        <v>376</v>
      </c>
      <c r="B91" t="s">
        <v>139</v>
      </c>
      <c r="C91" s="2">
        <v>17</v>
      </c>
      <c r="D91" s="1">
        <v>0</v>
      </c>
      <c r="E91" s="1">
        <v>0</v>
      </c>
      <c r="F91" s="1">
        <v>0</v>
      </c>
    </row>
    <row r="92" spans="1:6">
      <c r="A92">
        <v>380</v>
      </c>
      <c r="B92" t="s">
        <v>140</v>
      </c>
      <c r="C92" s="2">
        <v>11</v>
      </c>
      <c r="D92" s="1">
        <v>0</v>
      </c>
      <c r="E92" s="1">
        <v>0</v>
      </c>
      <c r="F92" s="1">
        <v>1.4210854715202004E-13</v>
      </c>
    </row>
    <row r="93" spans="1:6">
      <c r="A93">
        <v>384</v>
      </c>
      <c r="B93" t="s">
        <v>141</v>
      </c>
      <c r="C93" s="2">
        <v>8</v>
      </c>
      <c r="D93" s="1">
        <v>0</v>
      </c>
      <c r="E93" s="1">
        <v>0</v>
      </c>
      <c r="F93" s="1">
        <v>0</v>
      </c>
    </row>
    <row r="94" spans="1:6">
      <c r="A94">
        <v>388</v>
      </c>
      <c r="B94" t="s">
        <v>142</v>
      </c>
      <c r="C94" s="2">
        <v>4</v>
      </c>
      <c r="D94" s="1">
        <v>0</v>
      </c>
      <c r="E94" s="1">
        <v>0</v>
      </c>
      <c r="F94" s="1">
        <v>3.5527136788005009E-14</v>
      </c>
    </row>
    <row r="95" spans="1:6">
      <c r="A95">
        <v>392</v>
      </c>
      <c r="B95" t="s">
        <v>143</v>
      </c>
      <c r="C95" s="2">
        <v>23</v>
      </c>
      <c r="D95" s="1">
        <v>0</v>
      </c>
      <c r="E95" s="1">
        <v>1.4210854715202004E-13</v>
      </c>
      <c r="F95" s="1">
        <v>4.2632564145606011E-13</v>
      </c>
    </row>
    <row r="96" spans="1:6">
      <c r="A96">
        <v>398</v>
      </c>
      <c r="B96" t="s">
        <v>144</v>
      </c>
      <c r="C96" s="2">
        <v>15</v>
      </c>
      <c r="D96" s="1">
        <v>0</v>
      </c>
      <c r="E96" s="1">
        <v>7.1054273576010019E-14</v>
      </c>
      <c r="F96" s="1">
        <v>2.1316282072803006E-13</v>
      </c>
    </row>
    <row r="97" spans="1:6">
      <c r="A97">
        <v>400</v>
      </c>
      <c r="B97" t="s">
        <v>145</v>
      </c>
      <c r="C97" s="2">
        <v>17</v>
      </c>
      <c r="D97" s="1">
        <v>0</v>
      </c>
      <c r="E97" s="1">
        <v>7.1054273576010019E-14</v>
      </c>
      <c r="F97" s="1">
        <v>1.4210854715202004E-13</v>
      </c>
    </row>
    <row r="98" spans="1:6">
      <c r="A98">
        <v>404</v>
      </c>
      <c r="B98" t="s">
        <v>146</v>
      </c>
      <c r="C98" s="2">
        <v>9</v>
      </c>
      <c r="D98" s="1">
        <v>0</v>
      </c>
      <c r="E98" s="1">
        <v>0</v>
      </c>
      <c r="F98" s="1">
        <v>7.8949192862233342E-15</v>
      </c>
    </row>
    <row r="99" spans="1:6">
      <c r="A99">
        <v>408</v>
      </c>
      <c r="B99" t="s">
        <v>147</v>
      </c>
      <c r="C99" s="2">
        <v>19</v>
      </c>
      <c r="D99" s="1">
        <v>0</v>
      </c>
      <c r="E99" s="1">
        <v>0</v>
      </c>
      <c r="F99" s="1">
        <v>0</v>
      </c>
    </row>
    <row r="100" spans="1:6">
      <c r="A100">
        <v>410</v>
      </c>
      <c r="B100" t="s">
        <v>148</v>
      </c>
      <c r="C100" s="2">
        <v>19</v>
      </c>
      <c r="D100" s="1">
        <v>0</v>
      </c>
      <c r="E100" s="1">
        <v>0</v>
      </c>
      <c r="F100" s="1">
        <v>0</v>
      </c>
    </row>
    <row r="101" spans="1:6">
      <c r="A101">
        <v>414</v>
      </c>
      <c r="B101" t="s">
        <v>149</v>
      </c>
      <c r="C101" s="2">
        <v>17</v>
      </c>
      <c r="D101" s="1">
        <v>0</v>
      </c>
      <c r="E101" s="1">
        <v>0</v>
      </c>
      <c r="F101" s="1">
        <v>0</v>
      </c>
    </row>
    <row r="102" spans="1:6">
      <c r="A102">
        <v>417</v>
      </c>
      <c r="B102" t="s">
        <v>150</v>
      </c>
      <c r="C102" s="2">
        <v>15</v>
      </c>
      <c r="D102" s="1">
        <v>0</v>
      </c>
      <c r="E102" s="1">
        <v>0</v>
      </c>
      <c r="F102" s="1">
        <v>0</v>
      </c>
    </row>
    <row r="103" spans="1:6">
      <c r="A103">
        <v>418</v>
      </c>
      <c r="B103" t="s">
        <v>151</v>
      </c>
      <c r="C103" s="2">
        <v>21</v>
      </c>
      <c r="D103" s="1">
        <v>0</v>
      </c>
      <c r="E103" s="1">
        <v>0</v>
      </c>
      <c r="F103" s="1">
        <v>0</v>
      </c>
    </row>
    <row r="104" spans="1:6">
      <c r="A104">
        <v>422</v>
      </c>
      <c r="B104" t="s">
        <v>152</v>
      </c>
      <c r="C104" s="2">
        <v>17</v>
      </c>
      <c r="D104" s="1">
        <v>0</v>
      </c>
      <c r="E104" s="1">
        <v>0</v>
      </c>
      <c r="F104" s="1">
        <v>0</v>
      </c>
    </row>
    <row r="105" spans="1:6">
      <c r="A105">
        <v>426</v>
      </c>
      <c r="B105" t="s">
        <v>153</v>
      </c>
      <c r="C105" s="2">
        <v>26</v>
      </c>
      <c r="D105" s="1">
        <v>0</v>
      </c>
      <c r="E105" s="1">
        <v>0</v>
      </c>
      <c r="F105" s="1">
        <v>0</v>
      </c>
    </row>
    <row r="106" spans="1:6">
      <c r="A106">
        <v>428</v>
      </c>
      <c r="B106" t="s">
        <v>154</v>
      </c>
      <c r="C106" s="2">
        <v>12</v>
      </c>
      <c r="D106" s="1">
        <v>0</v>
      </c>
      <c r="E106" s="1">
        <v>1.4210854715202004E-13</v>
      </c>
      <c r="F106" s="1">
        <v>2.8421709430404007E-13</v>
      </c>
    </row>
    <row r="107" spans="1:6">
      <c r="A107">
        <v>430</v>
      </c>
      <c r="B107" t="s">
        <v>155</v>
      </c>
      <c r="C107" s="2">
        <v>8</v>
      </c>
      <c r="D107" s="1">
        <v>0</v>
      </c>
      <c r="E107" s="1">
        <v>0</v>
      </c>
      <c r="F107" s="1">
        <v>0</v>
      </c>
    </row>
    <row r="108" spans="1:6">
      <c r="A108">
        <v>434</v>
      </c>
      <c r="B108" t="s">
        <v>156</v>
      </c>
      <c r="C108" s="2">
        <v>7</v>
      </c>
      <c r="D108" s="1">
        <v>0</v>
      </c>
      <c r="E108" s="1">
        <v>0</v>
      </c>
      <c r="F108" s="1">
        <v>0</v>
      </c>
    </row>
    <row r="109" spans="1:6">
      <c r="A109">
        <v>438</v>
      </c>
      <c r="B109" t="s">
        <v>157</v>
      </c>
      <c r="C109" s="2">
        <v>11</v>
      </c>
      <c r="D109" s="1">
        <v>0</v>
      </c>
      <c r="E109" s="1">
        <v>0</v>
      </c>
      <c r="F109" s="1">
        <v>0</v>
      </c>
    </row>
    <row r="110" spans="1:6">
      <c r="A110">
        <v>440</v>
      </c>
      <c r="B110" t="s">
        <v>158</v>
      </c>
      <c r="C110" s="2">
        <v>12</v>
      </c>
      <c r="D110" s="1">
        <v>0</v>
      </c>
      <c r="E110" s="1">
        <v>0</v>
      </c>
      <c r="F110" s="1">
        <v>1.4210854715202004E-13</v>
      </c>
    </row>
    <row r="111" spans="1:6">
      <c r="A111">
        <v>442</v>
      </c>
      <c r="B111" t="s">
        <v>159</v>
      </c>
      <c r="C111" s="2">
        <v>11</v>
      </c>
      <c r="D111" s="1">
        <v>0</v>
      </c>
      <c r="E111" s="1">
        <v>0</v>
      </c>
      <c r="F111" s="1">
        <v>0</v>
      </c>
    </row>
    <row r="112" spans="1:6">
      <c r="A112">
        <v>450</v>
      </c>
      <c r="B112" t="s">
        <v>160</v>
      </c>
      <c r="C112" s="2">
        <v>9</v>
      </c>
      <c r="D112" s="1">
        <v>0</v>
      </c>
      <c r="E112" s="1">
        <v>0</v>
      </c>
      <c r="F112" s="1">
        <v>7.1054273576010019E-14</v>
      </c>
    </row>
    <row r="113" spans="1:6">
      <c r="A113">
        <v>454</v>
      </c>
      <c r="B113" t="s">
        <v>161</v>
      </c>
      <c r="C113" s="2">
        <v>26</v>
      </c>
      <c r="D113" s="1">
        <v>0</v>
      </c>
      <c r="E113" s="1">
        <v>0</v>
      </c>
      <c r="F113" s="1">
        <v>0</v>
      </c>
    </row>
    <row r="114" spans="1:6">
      <c r="A114">
        <v>458</v>
      </c>
      <c r="B114" t="s">
        <v>162</v>
      </c>
      <c r="C114" s="2">
        <v>21</v>
      </c>
      <c r="D114" s="1">
        <v>0</v>
      </c>
      <c r="E114" s="1">
        <v>0</v>
      </c>
      <c r="F114" s="1">
        <v>7.1054273576010019E-14</v>
      </c>
    </row>
    <row r="115" spans="1:6">
      <c r="A115">
        <v>466</v>
      </c>
      <c r="B115" t="s">
        <v>163</v>
      </c>
      <c r="C115" s="2">
        <v>8</v>
      </c>
      <c r="D115" s="1">
        <v>0</v>
      </c>
      <c r="E115" s="1">
        <v>0</v>
      </c>
      <c r="F115" s="1">
        <v>0</v>
      </c>
    </row>
    <row r="116" spans="1:6">
      <c r="A116">
        <v>470</v>
      </c>
      <c r="B116" t="s">
        <v>164</v>
      </c>
      <c r="C116" s="2">
        <v>12</v>
      </c>
      <c r="D116" s="1">
        <v>0</v>
      </c>
      <c r="E116" s="1">
        <v>0</v>
      </c>
      <c r="F116" s="1">
        <v>2.8421709430404007E-13</v>
      </c>
    </row>
    <row r="117" spans="1:6">
      <c r="A117">
        <v>474</v>
      </c>
      <c r="B117" t="s">
        <v>165</v>
      </c>
      <c r="C117" s="2">
        <v>4</v>
      </c>
      <c r="D117" s="1">
        <v>0</v>
      </c>
      <c r="E117" s="1">
        <v>0</v>
      </c>
      <c r="F117" s="1">
        <v>0</v>
      </c>
    </row>
    <row r="118" spans="1:6">
      <c r="A118">
        <v>478</v>
      </c>
      <c r="B118" t="s">
        <v>166</v>
      </c>
      <c r="C118" s="2">
        <v>8</v>
      </c>
      <c r="D118" s="1">
        <v>0</v>
      </c>
      <c r="E118" s="1">
        <v>0</v>
      </c>
      <c r="F118" s="1">
        <v>0</v>
      </c>
    </row>
    <row r="119" spans="1:6">
      <c r="A119">
        <v>480</v>
      </c>
      <c r="B119" t="s">
        <v>167</v>
      </c>
      <c r="C119" s="2">
        <v>9</v>
      </c>
      <c r="D119" s="1">
        <v>0</v>
      </c>
      <c r="E119" s="1">
        <v>0</v>
      </c>
      <c r="F119" s="1">
        <v>1.7763568394002505E-13</v>
      </c>
    </row>
    <row r="120" spans="1:6">
      <c r="A120">
        <v>484</v>
      </c>
      <c r="B120" t="s">
        <v>168</v>
      </c>
      <c r="C120" s="2">
        <v>3</v>
      </c>
      <c r="D120" s="1">
        <v>0</v>
      </c>
      <c r="E120" s="1">
        <v>0</v>
      </c>
      <c r="F120" s="1">
        <v>7.1054273576010019E-14</v>
      </c>
    </row>
    <row r="121" spans="1:6">
      <c r="A121">
        <v>496</v>
      </c>
      <c r="B121" t="s">
        <v>169</v>
      </c>
      <c r="C121" s="2">
        <v>20</v>
      </c>
      <c r="D121" s="1">
        <v>0</v>
      </c>
      <c r="E121" s="1">
        <v>1.4210854715202004E-13</v>
      </c>
      <c r="F121" s="1">
        <v>2.8421709430404007E-13</v>
      </c>
    </row>
    <row r="122" spans="1:6">
      <c r="A122">
        <v>498</v>
      </c>
      <c r="B122" t="s">
        <v>170</v>
      </c>
      <c r="C122" s="2">
        <v>14</v>
      </c>
      <c r="D122" s="1">
        <v>0</v>
      </c>
      <c r="E122" s="1">
        <v>0</v>
      </c>
      <c r="F122" s="1">
        <v>0</v>
      </c>
    </row>
    <row r="123" spans="1:6">
      <c r="A123">
        <v>500</v>
      </c>
      <c r="B123" t="s">
        <v>171</v>
      </c>
      <c r="C123" s="2">
        <v>4</v>
      </c>
      <c r="D123" s="1">
        <v>0</v>
      </c>
      <c r="E123" s="1">
        <v>1.0658141036401503E-13</v>
      </c>
      <c r="F123" s="1">
        <v>1.7763568394002505E-13</v>
      </c>
    </row>
    <row r="124" spans="1:6">
      <c r="A124">
        <v>504</v>
      </c>
      <c r="B124" t="s">
        <v>172</v>
      </c>
      <c r="C124" s="2">
        <v>7</v>
      </c>
      <c r="D124" s="1">
        <v>0</v>
      </c>
      <c r="E124" s="1">
        <v>0</v>
      </c>
      <c r="F124" s="1">
        <v>0</v>
      </c>
    </row>
    <row r="125" spans="1:6">
      <c r="A125">
        <v>508</v>
      </c>
      <c r="B125" t="s">
        <v>173</v>
      </c>
      <c r="C125" s="2">
        <v>26</v>
      </c>
      <c r="D125" s="1">
        <v>0</v>
      </c>
      <c r="E125" s="1">
        <v>0</v>
      </c>
      <c r="F125" s="1">
        <v>0</v>
      </c>
    </row>
    <row r="126" spans="1:6">
      <c r="A126">
        <v>512</v>
      </c>
      <c r="B126" t="s">
        <v>174</v>
      </c>
      <c r="C126" s="2">
        <v>17</v>
      </c>
      <c r="D126" s="1">
        <v>0</v>
      </c>
      <c r="E126" s="1">
        <v>1.9737298215558335E-15</v>
      </c>
      <c r="F126" s="1">
        <v>1.9737298215558338E-14</v>
      </c>
    </row>
    <row r="127" spans="1:6">
      <c r="A127">
        <v>516</v>
      </c>
      <c r="B127" t="s">
        <v>175</v>
      </c>
      <c r="C127" s="2">
        <v>26</v>
      </c>
      <c r="D127" s="1">
        <v>0</v>
      </c>
      <c r="E127" s="1">
        <v>0</v>
      </c>
      <c r="F127" s="1">
        <v>0</v>
      </c>
    </row>
    <row r="128" spans="1:6">
      <c r="A128">
        <v>524</v>
      </c>
      <c r="B128" t="s">
        <v>176</v>
      </c>
      <c r="C128" s="2">
        <v>25</v>
      </c>
      <c r="D128" s="1">
        <v>0</v>
      </c>
      <c r="E128" s="1">
        <v>0</v>
      </c>
      <c r="F128" s="1">
        <v>7.1054273576010019E-14</v>
      </c>
    </row>
    <row r="129" spans="1:6">
      <c r="A129">
        <v>528</v>
      </c>
      <c r="B129" t="s">
        <v>177</v>
      </c>
      <c r="C129" s="2">
        <v>11</v>
      </c>
      <c r="D129" s="1">
        <v>0</v>
      </c>
      <c r="E129" s="1">
        <v>0</v>
      </c>
      <c r="F129" s="1">
        <v>0</v>
      </c>
    </row>
    <row r="130" spans="1:6">
      <c r="A130">
        <v>530</v>
      </c>
      <c r="B130" t="s">
        <v>178</v>
      </c>
      <c r="C130" s="2">
        <v>4</v>
      </c>
      <c r="D130" s="1">
        <v>0</v>
      </c>
      <c r="E130" s="1">
        <v>0</v>
      </c>
      <c r="F130" s="1">
        <v>1.1842378929335002E-14</v>
      </c>
    </row>
    <row r="131" spans="1:6">
      <c r="A131">
        <v>533</v>
      </c>
      <c r="B131" t="s">
        <v>179</v>
      </c>
      <c r="C131" s="2">
        <v>4</v>
      </c>
      <c r="D131" s="1">
        <v>0</v>
      </c>
      <c r="E131" s="1">
        <v>2.1316282072803006E-13</v>
      </c>
      <c r="F131" s="1">
        <v>3.5527136788005009E-13</v>
      </c>
    </row>
    <row r="132" spans="1:6">
      <c r="A132">
        <v>540</v>
      </c>
      <c r="B132" t="s">
        <v>180</v>
      </c>
      <c r="C132" s="2">
        <v>24</v>
      </c>
      <c r="D132" s="1">
        <v>0</v>
      </c>
      <c r="E132" s="1">
        <v>0</v>
      </c>
      <c r="F132" s="1">
        <v>3.5527136788005009E-13</v>
      </c>
    </row>
    <row r="133" spans="1:6">
      <c r="A133">
        <v>548</v>
      </c>
      <c r="B133" t="s">
        <v>181</v>
      </c>
      <c r="C133" s="2">
        <v>24</v>
      </c>
      <c r="D133" s="1">
        <v>0</v>
      </c>
      <c r="E133" s="1">
        <v>0</v>
      </c>
      <c r="F133" s="1">
        <v>0</v>
      </c>
    </row>
    <row r="134" spans="1:6">
      <c r="A134">
        <v>554</v>
      </c>
      <c r="B134" t="s">
        <v>182</v>
      </c>
      <c r="C134" s="2">
        <v>24</v>
      </c>
      <c r="D134" s="1">
        <v>0</v>
      </c>
      <c r="E134" s="1">
        <v>0</v>
      </c>
      <c r="F134" s="1">
        <v>4.2632564145606011E-13</v>
      </c>
    </row>
    <row r="135" spans="1:6">
      <c r="A135">
        <v>558</v>
      </c>
      <c r="B135" t="s">
        <v>183</v>
      </c>
      <c r="C135" s="2">
        <v>4</v>
      </c>
      <c r="D135" s="1">
        <v>0</v>
      </c>
      <c r="E135" s="1">
        <v>0</v>
      </c>
      <c r="F135" s="1">
        <v>1.4210854715202004E-13</v>
      </c>
    </row>
    <row r="136" spans="1:6">
      <c r="A136">
        <v>562</v>
      </c>
      <c r="B136" t="s">
        <v>184</v>
      </c>
      <c r="C136" s="2">
        <v>8</v>
      </c>
      <c r="D136" s="1">
        <v>0</v>
      </c>
      <c r="E136" s="1">
        <v>0</v>
      </c>
      <c r="F136" s="1">
        <v>3.9474596431116671E-15</v>
      </c>
    </row>
    <row r="137" spans="1:6">
      <c r="A137">
        <v>566</v>
      </c>
      <c r="B137" t="s">
        <v>185</v>
      </c>
      <c r="C137" s="2">
        <v>8</v>
      </c>
      <c r="D137" s="1">
        <v>0</v>
      </c>
      <c r="E137" s="1">
        <v>0</v>
      </c>
      <c r="F137" s="1">
        <v>0</v>
      </c>
    </row>
    <row r="138" spans="1:6">
      <c r="A138">
        <v>578</v>
      </c>
      <c r="B138" t="s">
        <v>186</v>
      </c>
      <c r="C138" s="2">
        <v>11</v>
      </c>
      <c r="D138" s="1">
        <v>0</v>
      </c>
      <c r="E138" s="1">
        <v>1.4210854715202004E-13</v>
      </c>
      <c r="F138" s="1">
        <v>5.6843418860808015E-13</v>
      </c>
    </row>
    <row r="139" spans="1:6">
      <c r="A139">
        <v>586</v>
      </c>
      <c r="B139" t="s">
        <v>187</v>
      </c>
      <c r="C139" s="2">
        <v>25</v>
      </c>
      <c r="D139" s="1">
        <v>0</v>
      </c>
      <c r="E139" s="1">
        <v>0</v>
      </c>
      <c r="F139" s="1">
        <v>0</v>
      </c>
    </row>
    <row r="140" spans="1:6">
      <c r="A140">
        <v>591</v>
      </c>
      <c r="B140" t="s">
        <v>188</v>
      </c>
      <c r="C140" s="2">
        <v>4</v>
      </c>
      <c r="D140" s="1">
        <v>0</v>
      </c>
      <c r="E140" s="1">
        <v>3.5527136788005009E-14</v>
      </c>
      <c r="F140" s="1">
        <v>1.7763568394002505E-13</v>
      </c>
    </row>
    <row r="141" spans="1:6">
      <c r="A141">
        <v>598</v>
      </c>
      <c r="B141" t="s">
        <v>189</v>
      </c>
      <c r="C141" s="2">
        <v>22</v>
      </c>
      <c r="D141" s="1">
        <v>0</v>
      </c>
      <c r="E141" s="1">
        <v>0</v>
      </c>
      <c r="F141" s="1">
        <v>0</v>
      </c>
    </row>
    <row r="142" spans="1:6">
      <c r="A142">
        <v>600</v>
      </c>
      <c r="B142" t="s">
        <v>190</v>
      </c>
      <c r="C142" s="2">
        <v>6</v>
      </c>
      <c r="D142" s="1">
        <v>0</v>
      </c>
      <c r="E142" s="1">
        <v>3.5527136788005009E-14</v>
      </c>
      <c r="F142" s="1">
        <v>3.5527136788005009E-14</v>
      </c>
    </row>
    <row r="143" spans="1:6">
      <c r="A143">
        <v>604</v>
      </c>
      <c r="B143" t="s">
        <v>191</v>
      </c>
      <c r="C143" s="2">
        <v>6</v>
      </c>
      <c r="D143" s="1">
        <v>0</v>
      </c>
      <c r="E143" s="1">
        <v>0</v>
      </c>
      <c r="F143" s="1">
        <v>7.1054273576010019E-14</v>
      </c>
    </row>
    <row r="144" spans="1:6">
      <c r="A144">
        <v>608</v>
      </c>
      <c r="B144" t="s">
        <v>192</v>
      </c>
      <c r="C144" s="2">
        <v>21</v>
      </c>
      <c r="D144" s="1">
        <v>0</v>
      </c>
      <c r="E144" s="1">
        <v>3.9474596431116671E-15</v>
      </c>
      <c r="F144" s="1">
        <v>3.9474596431116671E-15</v>
      </c>
    </row>
    <row r="145" spans="1:6">
      <c r="A145">
        <v>616</v>
      </c>
      <c r="B145" t="s">
        <v>193</v>
      </c>
      <c r="C145" s="2">
        <v>12</v>
      </c>
      <c r="D145" s="1">
        <v>0</v>
      </c>
      <c r="E145" s="1">
        <v>1.4210854715202004E-13</v>
      </c>
      <c r="F145" s="1">
        <v>5.6843418860808015E-13</v>
      </c>
    </row>
    <row r="146" spans="1:6">
      <c r="A146">
        <v>620</v>
      </c>
      <c r="B146" t="s">
        <v>194</v>
      </c>
      <c r="C146" s="2">
        <v>11</v>
      </c>
      <c r="D146" s="1">
        <v>0</v>
      </c>
      <c r="E146" s="1">
        <v>0</v>
      </c>
      <c r="F146" s="1">
        <v>0</v>
      </c>
    </row>
    <row r="147" spans="1:6">
      <c r="A147">
        <v>624</v>
      </c>
      <c r="B147" t="s">
        <v>195</v>
      </c>
      <c r="C147" s="2">
        <v>8</v>
      </c>
      <c r="D147" s="1">
        <v>0</v>
      </c>
      <c r="E147" s="1">
        <v>0</v>
      </c>
      <c r="F147" s="1">
        <v>0</v>
      </c>
    </row>
    <row r="148" spans="1:6">
      <c r="A148">
        <v>626</v>
      </c>
      <c r="B148" t="s">
        <v>196</v>
      </c>
      <c r="C148" s="2">
        <v>22</v>
      </c>
      <c r="D148" s="1">
        <v>0</v>
      </c>
      <c r="E148" s="1">
        <v>0</v>
      </c>
      <c r="F148" s="1">
        <v>4.2632564145606011E-13</v>
      </c>
    </row>
    <row r="149" spans="1:6">
      <c r="A149">
        <v>630</v>
      </c>
      <c r="B149" t="s">
        <v>197</v>
      </c>
      <c r="C149" s="2">
        <v>4</v>
      </c>
      <c r="D149" s="1">
        <v>0</v>
      </c>
      <c r="E149" s="1">
        <v>0</v>
      </c>
      <c r="F149" s="1">
        <v>0</v>
      </c>
    </row>
    <row r="150" spans="1:6">
      <c r="A150">
        <v>634</v>
      </c>
      <c r="B150" t="s">
        <v>198</v>
      </c>
      <c r="C150" s="2">
        <v>17</v>
      </c>
      <c r="D150" s="1">
        <v>0</v>
      </c>
      <c r="E150" s="1">
        <v>0</v>
      </c>
      <c r="F150" s="1">
        <v>0</v>
      </c>
    </row>
    <row r="151" spans="1:6">
      <c r="A151">
        <v>638</v>
      </c>
      <c r="B151" t="s">
        <v>199</v>
      </c>
      <c r="C151" s="2">
        <v>9</v>
      </c>
      <c r="D151" s="1">
        <v>0</v>
      </c>
      <c r="E151" s="1">
        <v>0</v>
      </c>
      <c r="F151" s="1">
        <v>0</v>
      </c>
    </row>
    <row r="152" spans="1:6">
      <c r="A152">
        <v>642</v>
      </c>
      <c r="B152" t="s">
        <v>200</v>
      </c>
      <c r="C152" s="2">
        <v>12</v>
      </c>
      <c r="D152" s="1">
        <v>0</v>
      </c>
      <c r="E152" s="1">
        <v>0</v>
      </c>
      <c r="F152" s="1">
        <v>0</v>
      </c>
    </row>
    <row r="153" spans="1:6">
      <c r="A153">
        <v>643</v>
      </c>
      <c r="B153" t="s">
        <v>201</v>
      </c>
      <c r="C153" s="2">
        <v>16</v>
      </c>
      <c r="D153" s="1">
        <v>0</v>
      </c>
      <c r="E153" s="1">
        <v>7.1054273576010019E-14</v>
      </c>
      <c r="F153" s="1">
        <v>7.1054273576010019E-14</v>
      </c>
    </row>
    <row r="154" spans="1:6">
      <c r="A154">
        <v>646</v>
      </c>
      <c r="B154" t="s">
        <v>202</v>
      </c>
      <c r="C154" s="2">
        <v>9</v>
      </c>
      <c r="D154" s="1">
        <v>0</v>
      </c>
      <c r="E154" s="1">
        <v>0</v>
      </c>
      <c r="F154" s="1">
        <v>0</v>
      </c>
    </row>
    <row r="155" spans="1:6">
      <c r="A155">
        <v>659</v>
      </c>
      <c r="B155" t="s">
        <v>203</v>
      </c>
      <c r="C155" s="2">
        <v>4</v>
      </c>
      <c r="D155" s="1">
        <v>0</v>
      </c>
      <c r="E155" s="1">
        <v>7.1054273576010019E-14</v>
      </c>
      <c r="F155" s="1">
        <v>7.1054273576010019E-14</v>
      </c>
    </row>
    <row r="156" spans="1:6">
      <c r="A156">
        <v>660</v>
      </c>
      <c r="B156" t="s">
        <v>204</v>
      </c>
      <c r="C156" s="2">
        <v>4</v>
      </c>
      <c r="D156" s="1">
        <v>0</v>
      </c>
      <c r="E156" s="1">
        <v>0</v>
      </c>
      <c r="F156" s="1">
        <v>0</v>
      </c>
    </row>
    <row r="157" spans="1:6">
      <c r="A157">
        <v>662</v>
      </c>
      <c r="B157" t="s">
        <v>205</v>
      </c>
      <c r="C157" s="2">
        <v>4</v>
      </c>
      <c r="D157" s="1">
        <v>0</v>
      </c>
      <c r="E157" s="1">
        <v>1.7763568394002505E-14</v>
      </c>
      <c r="F157" s="1">
        <v>1.5987211554602254E-13</v>
      </c>
    </row>
    <row r="158" spans="1:6">
      <c r="A158">
        <v>666</v>
      </c>
      <c r="B158" t="s">
        <v>206</v>
      </c>
      <c r="C158" s="2">
        <v>2</v>
      </c>
      <c r="D158" s="1">
        <v>0</v>
      </c>
      <c r="E158" s="1">
        <v>0</v>
      </c>
      <c r="F158" s="1">
        <v>7.1054273576010019E-14</v>
      </c>
    </row>
    <row r="159" spans="1:6">
      <c r="A159">
        <v>670</v>
      </c>
      <c r="B159" t="s">
        <v>207</v>
      </c>
      <c r="C159" s="2">
        <v>4</v>
      </c>
      <c r="D159" s="1">
        <v>0</v>
      </c>
      <c r="E159" s="1">
        <v>0</v>
      </c>
      <c r="F159" s="1">
        <v>7.1054273576010019E-14</v>
      </c>
    </row>
    <row r="160" spans="1:6">
      <c r="A160">
        <v>678</v>
      </c>
      <c r="B160" t="s">
        <v>208</v>
      </c>
      <c r="C160" s="2">
        <v>8</v>
      </c>
      <c r="D160" s="1">
        <v>0</v>
      </c>
      <c r="E160" s="1">
        <v>0</v>
      </c>
      <c r="F160" s="1">
        <v>0</v>
      </c>
    </row>
    <row r="161" spans="1:6">
      <c r="A161">
        <v>682</v>
      </c>
      <c r="B161" t="s">
        <v>209</v>
      </c>
      <c r="C161" s="2">
        <v>17</v>
      </c>
      <c r="D161" s="1">
        <v>0</v>
      </c>
      <c r="E161" s="1">
        <v>0</v>
      </c>
      <c r="F161" s="1">
        <v>2.1316282072803006E-13</v>
      </c>
    </row>
    <row r="162" spans="1:6">
      <c r="A162">
        <v>686</v>
      </c>
      <c r="B162" t="s">
        <v>210</v>
      </c>
      <c r="C162" s="2">
        <v>8</v>
      </c>
      <c r="D162" s="1">
        <v>0</v>
      </c>
      <c r="E162" s="1">
        <v>0</v>
      </c>
      <c r="F162" s="1">
        <v>0</v>
      </c>
    </row>
    <row r="163" spans="1:6">
      <c r="A163">
        <v>694</v>
      </c>
      <c r="B163" t="s">
        <v>211</v>
      </c>
      <c r="C163" s="2">
        <v>8</v>
      </c>
      <c r="D163" s="1">
        <v>0</v>
      </c>
      <c r="E163" s="1">
        <v>0</v>
      </c>
      <c r="F163" s="1">
        <v>0</v>
      </c>
    </row>
    <row r="164" spans="1:6">
      <c r="A164">
        <v>702</v>
      </c>
      <c r="B164" t="s">
        <v>212</v>
      </c>
      <c r="C164" s="2">
        <v>21</v>
      </c>
      <c r="D164" s="1">
        <v>0</v>
      </c>
      <c r="E164" s="1">
        <v>0</v>
      </c>
      <c r="F164" s="1">
        <v>0</v>
      </c>
    </row>
    <row r="165" spans="1:6">
      <c r="A165">
        <v>703</v>
      </c>
      <c r="B165" t="s">
        <v>213</v>
      </c>
      <c r="C165" s="2">
        <v>12</v>
      </c>
      <c r="D165" s="1">
        <v>0</v>
      </c>
      <c r="E165" s="1">
        <v>1.0658141036401503E-13</v>
      </c>
      <c r="F165" s="1">
        <v>2.4868995751603507E-13</v>
      </c>
    </row>
    <row r="166" spans="1:6">
      <c r="A166">
        <v>704</v>
      </c>
      <c r="B166" t="s">
        <v>214</v>
      </c>
      <c r="C166" s="2">
        <v>21</v>
      </c>
      <c r="D166" s="1">
        <v>0</v>
      </c>
      <c r="E166" s="1">
        <v>0</v>
      </c>
      <c r="F166" s="1">
        <v>0</v>
      </c>
    </row>
    <row r="167" spans="1:6">
      <c r="A167">
        <v>705</v>
      </c>
      <c r="B167" t="s">
        <v>215</v>
      </c>
      <c r="C167" s="2">
        <v>12</v>
      </c>
      <c r="D167" s="1">
        <v>0</v>
      </c>
      <c r="E167" s="1">
        <v>1.4210854715202004E-13</v>
      </c>
      <c r="F167" s="1">
        <v>4.2632564145606011E-13</v>
      </c>
    </row>
    <row r="168" spans="1:6">
      <c r="A168">
        <v>706</v>
      </c>
      <c r="B168" t="s">
        <v>216</v>
      </c>
      <c r="C168" s="2">
        <v>9</v>
      </c>
      <c r="D168" s="1">
        <v>0</v>
      </c>
      <c r="E168" s="1">
        <v>0</v>
      </c>
      <c r="F168" s="1">
        <v>0</v>
      </c>
    </row>
    <row r="169" spans="1:6">
      <c r="A169">
        <v>710</v>
      </c>
      <c r="B169" t="s">
        <v>217</v>
      </c>
      <c r="C169" s="2">
        <v>10</v>
      </c>
      <c r="D169" s="1">
        <v>0</v>
      </c>
      <c r="E169" s="1">
        <v>0</v>
      </c>
      <c r="F169" s="1">
        <v>0</v>
      </c>
    </row>
    <row r="170" spans="1:6">
      <c r="A170">
        <v>716</v>
      </c>
      <c r="B170" t="s">
        <v>218</v>
      </c>
      <c r="C170" s="2">
        <v>26</v>
      </c>
      <c r="D170" s="1">
        <v>0</v>
      </c>
      <c r="E170" s="1">
        <v>0</v>
      </c>
      <c r="F170" s="1">
        <v>0</v>
      </c>
    </row>
    <row r="171" spans="1:6">
      <c r="A171">
        <v>724</v>
      </c>
      <c r="B171" t="s">
        <v>219</v>
      </c>
      <c r="C171" s="2">
        <v>11</v>
      </c>
      <c r="D171" s="1">
        <v>0</v>
      </c>
      <c r="E171" s="1">
        <v>0</v>
      </c>
      <c r="F171" s="1">
        <v>0</v>
      </c>
    </row>
    <row r="172" spans="1:6">
      <c r="A172">
        <v>732</v>
      </c>
      <c r="B172" t="s">
        <v>220</v>
      </c>
      <c r="C172" s="2">
        <v>7</v>
      </c>
      <c r="D172" s="1">
        <v>0</v>
      </c>
      <c r="E172" s="1">
        <v>0</v>
      </c>
      <c r="F172" s="1">
        <v>2.1316282072803006E-13</v>
      </c>
    </row>
    <row r="173" spans="1:6">
      <c r="A173">
        <v>736</v>
      </c>
      <c r="B173" t="s">
        <v>221</v>
      </c>
      <c r="C173" s="2">
        <v>9</v>
      </c>
      <c r="D173" s="1">
        <v>0</v>
      </c>
      <c r="E173" s="1">
        <v>0</v>
      </c>
      <c r="F173" s="1">
        <v>2.4868995751603507E-13</v>
      </c>
    </row>
    <row r="174" spans="1:6">
      <c r="A174">
        <v>740</v>
      </c>
      <c r="B174" t="s">
        <v>222</v>
      </c>
      <c r="C174" s="2">
        <v>6</v>
      </c>
      <c r="D174" s="1">
        <v>0</v>
      </c>
      <c r="E174" s="1">
        <v>0</v>
      </c>
      <c r="F174" s="1">
        <v>0</v>
      </c>
    </row>
    <row r="175" spans="1:6">
      <c r="A175">
        <v>748</v>
      </c>
      <c r="B175" t="s">
        <v>223</v>
      </c>
      <c r="C175" s="2">
        <v>26</v>
      </c>
      <c r="D175" s="1">
        <v>0</v>
      </c>
      <c r="E175" s="1">
        <v>0</v>
      </c>
      <c r="F175" s="1">
        <v>1.7763568394002505E-14</v>
      </c>
    </row>
    <row r="176" spans="1:6">
      <c r="A176">
        <v>752</v>
      </c>
      <c r="B176" t="s">
        <v>224</v>
      </c>
      <c r="C176" s="2">
        <v>11</v>
      </c>
      <c r="D176" s="1">
        <v>0</v>
      </c>
      <c r="E176" s="1">
        <v>1.4210854715202004E-13</v>
      </c>
      <c r="F176" s="1">
        <v>1.4210854715202004E-13</v>
      </c>
    </row>
    <row r="177" spans="1:6">
      <c r="A177">
        <v>756</v>
      </c>
      <c r="B177" t="s">
        <v>225</v>
      </c>
      <c r="C177" s="2">
        <v>11</v>
      </c>
      <c r="D177" s="1">
        <v>0</v>
      </c>
      <c r="E177" s="1">
        <v>0</v>
      </c>
      <c r="F177" s="1">
        <v>0</v>
      </c>
    </row>
    <row r="178" spans="1:6">
      <c r="A178">
        <v>760</v>
      </c>
      <c r="B178" t="s">
        <v>226</v>
      </c>
      <c r="C178" s="2">
        <v>17</v>
      </c>
      <c r="D178" s="1">
        <v>0</v>
      </c>
      <c r="E178" s="1">
        <v>0</v>
      </c>
      <c r="F178" s="1">
        <v>0</v>
      </c>
    </row>
    <row r="179" spans="1:6">
      <c r="A179">
        <v>762</v>
      </c>
      <c r="B179" t="s">
        <v>227</v>
      </c>
      <c r="C179" s="2">
        <v>15</v>
      </c>
      <c r="D179" s="1">
        <v>0</v>
      </c>
      <c r="E179" s="1">
        <v>0</v>
      </c>
      <c r="F179" s="1">
        <v>1.3816108750890835E-14</v>
      </c>
    </row>
    <row r="180" spans="1:6">
      <c r="A180">
        <v>764</v>
      </c>
      <c r="B180" t="s">
        <v>228</v>
      </c>
      <c r="C180" s="2">
        <v>21</v>
      </c>
      <c r="D180" s="1">
        <v>0</v>
      </c>
      <c r="E180" s="1">
        <v>0</v>
      </c>
      <c r="F180" s="1">
        <v>2.1316282072803006E-13</v>
      </c>
    </row>
    <row r="181" spans="1:6">
      <c r="A181">
        <v>768</v>
      </c>
      <c r="B181" t="s">
        <v>229</v>
      </c>
      <c r="C181" s="2">
        <v>8</v>
      </c>
      <c r="D181" s="1">
        <v>0</v>
      </c>
      <c r="E181" s="1">
        <v>0</v>
      </c>
      <c r="F181" s="1">
        <v>0</v>
      </c>
    </row>
    <row r="182" spans="1:6">
      <c r="A182">
        <v>776</v>
      </c>
      <c r="B182" t="s">
        <v>230</v>
      </c>
      <c r="C182" s="2">
        <v>24</v>
      </c>
      <c r="D182" s="1">
        <v>0</v>
      </c>
      <c r="E182" s="1">
        <v>0</v>
      </c>
      <c r="F182" s="1">
        <v>3.5527136788005009E-14</v>
      </c>
    </row>
    <row r="183" spans="1:6">
      <c r="A183">
        <v>780</v>
      </c>
      <c r="B183" t="s">
        <v>231</v>
      </c>
      <c r="C183" s="2">
        <v>4</v>
      </c>
      <c r="D183" s="1">
        <v>0</v>
      </c>
      <c r="E183" s="1">
        <v>0</v>
      </c>
      <c r="F183" s="1">
        <v>3.5527136788005009E-14</v>
      </c>
    </row>
    <row r="184" spans="1:6">
      <c r="A184">
        <v>784</v>
      </c>
      <c r="B184" t="s">
        <v>232</v>
      </c>
      <c r="C184" s="2">
        <v>17</v>
      </c>
      <c r="D184" s="1">
        <v>0</v>
      </c>
      <c r="E184" s="1">
        <v>7.1054273576010019E-14</v>
      </c>
      <c r="F184" s="1">
        <v>2.1316282072803006E-13</v>
      </c>
    </row>
    <row r="185" spans="1:6">
      <c r="A185">
        <v>788</v>
      </c>
      <c r="B185" t="s">
        <v>233</v>
      </c>
      <c r="C185" s="2">
        <v>7</v>
      </c>
      <c r="D185" s="1">
        <v>0</v>
      </c>
      <c r="E185" s="1">
        <v>0</v>
      </c>
      <c r="F185" s="1">
        <v>1.4210854715202004E-13</v>
      </c>
    </row>
    <row r="186" spans="1:6">
      <c r="A186">
        <v>792</v>
      </c>
      <c r="B186" t="s">
        <v>234</v>
      </c>
      <c r="C186" s="2">
        <v>13</v>
      </c>
      <c r="D186" s="1">
        <v>0</v>
      </c>
      <c r="E186" s="1">
        <v>0</v>
      </c>
      <c r="F186" s="1">
        <v>1.4210854715202004E-13</v>
      </c>
    </row>
    <row r="187" spans="1:6">
      <c r="A187">
        <v>795</v>
      </c>
      <c r="B187" t="s">
        <v>235</v>
      </c>
      <c r="C187" s="2">
        <v>15</v>
      </c>
      <c r="D187" s="1">
        <v>0</v>
      </c>
      <c r="E187" s="1">
        <v>0</v>
      </c>
      <c r="F187" s="1">
        <v>7.1054273576010019E-14</v>
      </c>
    </row>
    <row r="188" spans="1:6">
      <c r="A188">
        <v>796</v>
      </c>
      <c r="B188" t="s">
        <v>236</v>
      </c>
      <c r="C188" s="2">
        <v>4</v>
      </c>
      <c r="D188" s="1">
        <v>0</v>
      </c>
      <c r="E188" s="1">
        <v>7.1054273576010019E-14</v>
      </c>
      <c r="F188" s="1">
        <v>2.8421709430404007E-13</v>
      </c>
    </row>
    <row r="189" spans="1:6">
      <c r="A189">
        <v>800</v>
      </c>
      <c r="B189" t="s">
        <v>237</v>
      </c>
      <c r="C189" s="2">
        <v>9</v>
      </c>
      <c r="D189" s="1">
        <v>0</v>
      </c>
      <c r="E189" s="1">
        <v>0</v>
      </c>
      <c r="F189" s="1">
        <v>1.4210854715202004E-13</v>
      </c>
    </row>
    <row r="190" spans="1:6">
      <c r="A190">
        <v>804</v>
      </c>
      <c r="B190" t="s">
        <v>238</v>
      </c>
      <c r="C190" s="2">
        <v>14</v>
      </c>
      <c r="D190" s="1">
        <v>0</v>
      </c>
      <c r="E190" s="1">
        <v>0</v>
      </c>
      <c r="F190" s="1">
        <v>0</v>
      </c>
    </row>
    <row r="191" spans="1:6">
      <c r="A191">
        <v>807</v>
      </c>
      <c r="B191" t="s">
        <v>239</v>
      </c>
      <c r="C191" s="2">
        <v>12</v>
      </c>
      <c r="D191" s="1">
        <v>0</v>
      </c>
      <c r="E191" s="1">
        <v>0</v>
      </c>
      <c r="F191" s="1">
        <v>0</v>
      </c>
    </row>
    <row r="192" spans="1:6">
      <c r="A192">
        <v>818</v>
      </c>
      <c r="B192" t="s">
        <v>240</v>
      </c>
      <c r="C192" s="2">
        <v>7</v>
      </c>
      <c r="D192" s="1">
        <v>0</v>
      </c>
      <c r="E192" s="1">
        <v>0</v>
      </c>
      <c r="F192" s="1">
        <v>0</v>
      </c>
    </row>
    <row r="193" spans="1:6">
      <c r="A193">
        <v>826</v>
      </c>
      <c r="B193" t="s">
        <v>241</v>
      </c>
      <c r="C193" s="2">
        <v>11</v>
      </c>
      <c r="D193" s="1">
        <v>0</v>
      </c>
      <c r="E193" s="1">
        <v>1.4210854715202004E-13</v>
      </c>
      <c r="F193" s="1">
        <v>1.4210854715202004E-13</v>
      </c>
    </row>
    <row r="194" spans="1:6">
      <c r="A194">
        <v>834</v>
      </c>
      <c r="B194" t="s">
        <v>242</v>
      </c>
      <c r="C194" s="2">
        <v>26</v>
      </c>
      <c r="D194" s="1">
        <v>0</v>
      </c>
      <c r="E194" s="1">
        <v>0</v>
      </c>
      <c r="F194" s="1">
        <v>0</v>
      </c>
    </row>
    <row r="195" spans="1:6">
      <c r="A195">
        <v>840</v>
      </c>
      <c r="B195" t="s">
        <v>243</v>
      </c>
      <c r="C195" s="2">
        <v>2</v>
      </c>
      <c r="D195" s="1">
        <v>0</v>
      </c>
      <c r="E195" s="1">
        <v>0</v>
      </c>
      <c r="F195" s="1">
        <v>0</v>
      </c>
    </row>
    <row r="196" spans="1:6">
      <c r="A196">
        <v>850</v>
      </c>
      <c r="B196" t="s">
        <v>244</v>
      </c>
      <c r="C196" s="2">
        <v>4</v>
      </c>
      <c r="D196" s="1">
        <v>0</v>
      </c>
      <c r="E196" s="1">
        <v>0</v>
      </c>
      <c r="F196" s="1">
        <v>1.4210854715202004E-13</v>
      </c>
    </row>
    <row r="197" spans="1:6">
      <c r="A197">
        <v>854</v>
      </c>
      <c r="B197" t="s">
        <v>245</v>
      </c>
      <c r="C197" s="2">
        <v>8</v>
      </c>
      <c r="D197" s="1">
        <v>0</v>
      </c>
      <c r="E197" s="1">
        <v>0</v>
      </c>
      <c r="F197" s="1">
        <v>0</v>
      </c>
    </row>
    <row r="198" spans="1:6">
      <c r="A198">
        <v>858</v>
      </c>
      <c r="B198" t="s">
        <v>246</v>
      </c>
      <c r="C198" s="2">
        <v>6</v>
      </c>
      <c r="D198" s="1">
        <v>0</v>
      </c>
      <c r="E198" s="1">
        <v>0</v>
      </c>
      <c r="F198" s="1">
        <v>1.4210854715202004E-13</v>
      </c>
    </row>
    <row r="199" spans="1:6">
      <c r="A199">
        <v>860</v>
      </c>
      <c r="B199" t="s">
        <v>247</v>
      </c>
      <c r="C199" s="2">
        <v>15</v>
      </c>
      <c r="D199" s="1">
        <v>0</v>
      </c>
      <c r="E199" s="1">
        <v>0</v>
      </c>
      <c r="F199" s="1">
        <v>0</v>
      </c>
    </row>
    <row r="200" spans="1:6">
      <c r="A200">
        <v>862</v>
      </c>
      <c r="B200" t="s">
        <v>248</v>
      </c>
      <c r="C200" s="2">
        <v>6</v>
      </c>
      <c r="D200" s="1">
        <v>0</v>
      </c>
      <c r="E200" s="1">
        <v>0</v>
      </c>
      <c r="F200" s="1">
        <v>0</v>
      </c>
    </row>
    <row r="201" spans="1:6">
      <c r="A201">
        <v>882</v>
      </c>
      <c r="B201" t="s">
        <v>249</v>
      </c>
      <c r="C201" s="2">
        <v>24</v>
      </c>
      <c r="D201" s="1">
        <v>0</v>
      </c>
      <c r="E201" s="1">
        <v>0</v>
      </c>
      <c r="F201" s="1">
        <v>0</v>
      </c>
    </row>
    <row r="202" spans="1:6">
      <c r="A202">
        <v>887</v>
      </c>
      <c r="B202" t="s">
        <v>250</v>
      </c>
      <c r="C202" s="2">
        <v>17</v>
      </c>
      <c r="D202" s="1">
        <v>0</v>
      </c>
      <c r="E202" s="1">
        <v>0</v>
      </c>
      <c r="F202" s="1">
        <v>0</v>
      </c>
    </row>
    <row r="203" spans="1:6">
      <c r="A203">
        <v>891</v>
      </c>
      <c r="B203" t="s">
        <v>251</v>
      </c>
      <c r="C203" s="2">
        <v>12</v>
      </c>
      <c r="D203" s="1">
        <v>0</v>
      </c>
      <c r="E203" s="1">
        <v>0</v>
      </c>
      <c r="F203" s="1">
        <v>7.1054273576010019E-14</v>
      </c>
    </row>
    <row r="204" spans="1:6">
      <c r="A204">
        <v>894</v>
      </c>
      <c r="B204" t="s">
        <v>252</v>
      </c>
      <c r="C204" s="2">
        <v>26</v>
      </c>
      <c r="D204" s="1">
        <v>0</v>
      </c>
      <c r="E204" s="1">
        <v>0</v>
      </c>
      <c r="F204" s="1">
        <v>0</v>
      </c>
    </row>
  </sheetData>
  <pageMargins left="0.7" right="0.7" top="0.75" bottom="0.75" header="0.3" footer="0.3"/>
  <customProperties>
    <customPr name="EpmWorksheetKeyString_GUID" r:id="rId1"/>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9FD0-2047-443E-8763-EF741B468D85}">
  <dimension ref="A1:F204"/>
  <sheetViews>
    <sheetView workbookViewId="0"/>
  </sheetViews>
  <sheetFormatPr defaultRowHeight="15"/>
  <cols>
    <col min="4" max="6" width="12.140625" customWidth="1"/>
  </cols>
  <sheetData>
    <row r="1" spans="1:6">
      <c r="A1" t="s">
        <v>44</v>
      </c>
    </row>
    <row r="2" spans="1:6">
      <c r="A2" t="str">
        <f>[1]gdp_ssp2!A1</f>
        <v>#</v>
      </c>
      <c r="B2" t="str">
        <f>[1]gdp_ssp2!B1</f>
        <v>SSP2</v>
      </c>
      <c r="C2" t="str">
        <f>[1]gdp_ssp2!C1</f>
        <v>GDP van INMS</v>
      </c>
    </row>
    <row r="3" spans="1:6">
      <c r="A3" t="str">
        <f>[1]gdp_ssp2!A2</f>
        <v>#</v>
      </c>
      <c r="D3" t="str">
        <f>[1]gdp_ssp2!H2</f>
        <v>gdp2010</v>
      </c>
      <c r="E3" t="str">
        <f>[1]gdp_ssp2!M2</f>
        <v>gdp2050</v>
      </c>
      <c r="F3" t="str">
        <f>[1]gdp_ssp2!R2</f>
        <v>gdp2100</v>
      </c>
    </row>
    <row r="4" spans="1:6">
      <c r="A4" t="str">
        <f>[1]gdp_ssp2!A3</f>
        <v>ISO-CODE</v>
      </c>
      <c r="B4" t="str">
        <f>[1]gdp_ssp2!B3</f>
        <v>Country</v>
      </c>
      <c r="C4" t="str">
        <f>[1]gdp_ssp2!C3</f>
        <v>Image region</v>
      </c>
      <c r="D4">
        <f>[1]gdp_ssp2!H3</f>
        <v>2010</v>
      </c>
      <c r="E4">
        <f>[1]gdp_ssp2!M3</f>
        <v>2050</v>
      </c>
      <c r="F4">
        <f>[1]gdp_ssp2!R3</f>
        <v>2100</v>
      </c>
    </row>
    <row r="5" spans="1:6">
      <c r="A5">
        <f>[1]gdp_ssp2!A4</f>
        <v>4</v>
      </c>
      <c r="B5" t="str">
        <f>[1]gdp_ssp2!B4</f>
        <v xml:space="preserve">Afghanistan                                </v>
      </c>
      <c r="C5">
        <f>[1]gdp_ssp2!C4</f>
        <v>25</v>
      </c>
      <c r="D5" s="1">
        <f>[1]gdp_ssp2!H4</f>
        <v>937.977508230068</v>
      </c>
      <c r="E5" s="1">
        <f>[1]gdp_ssp2!M4</f>
        <v>4067.7954694816299</v>
      </c>
      <c r="F5" s="1">
        <f>[1]gdp_ssp2!R4</f>
        <v>42536.649190077304</v>
      </c>
    </row>
    <row r="6" spans="1:6">
      <c r="A6">
        <f>[1]gdp_ssp2!A5</f>
        <v>8</v>
      </c>
      <c r="B6" t="str">
        <f>[1]gdp_ssp2!B5</f>
        <v xml:space="preserve">Albania                                         </v>
      </c>
      <c r="C6">
        <f>[1]gdp_ssp2!C5</f>
        <v>12</v>
      </c>
      <c r="D6" s="1">
        <f>[1]gdp_ssp2!H5</f>
        <v>7569.5789999999997</v>
      </c>
      <c r="E6" s="1">
        <f>[1]gdp_ssp2!M5</f>
        <v>19438.740000000002</v>
      </c>
      <c r="F6" s="1">
        <f>[1]gdp_ssp2!R5</f>
        <v>43905.41</v>
      </c>
    </row>
    <row r="7" spans="1:6">
      <c r="A7">
        <f>[1]gdp_ssp2!A6</f>
        <v>12</v>
      </c>
      <c r="B7" t="str">
        <f>[1]gdp_ssp2!B6</f>
        <v xml:space="preserve">Algeria                      </v>
      </c>
      <c r="C7">
        <f>[1]gdp_ssp2!C6</f>
        <v>7</v>
      </c>
      <c r="D7" s="1">
        <f>[1]gdp_ssp2!H6</f>
        <v>7047.5060000000003</v>
      </c>
      <c r="E7" s="1">
        <f>[1]gdp_ssp2!M6</f>
        <v>12984.81</v>
      </c>
      <c r="F7" s="1">
        <f>[1]gdp_ssp2!R6</f>
        <v>37030.65</v>
      </c>
    </row>
    <row r="8" spans="1:6">
      <c r="A8">
        <f>[1]gdp_ssp2!A7</f>
        <v>16</v>
      </c>
      <c r="B8" t="str">
        <f>[1]gdp_ssp2!B7</f>
        <v xml:space="preserve">American Samoa                          </v>
      </c>
      <c r="C8">
        <f>[1]gdp_ssp2!C7</f>
        <v>24</v>
      </c>
      <c r="D8" s="1">
        <f>[1]gdp_ssp2!H7</f>
        <v>31708.534618801816</v>
      </c>
      <c r="E8" s="1">
        <f>[1]gdp_ssp2!M7</f>
        <v>52926.755470945958</v>
      </c>
      <c r="F8" s="1">
        <f>[1]gdp_ssp2!R7</f>
        <v>95407.55210509905</v>
      </c>
    </row>
    <row r="9" spans="1:6">
      <c r="A9">
        <f>[1]gdp_ssp2!A8</f>
        <v>20</v>
      </c>
      <c r="B9" t="str">
        <f>[1]gdp_ssp2!B8</f>
        <v xml:space="preserve">Andorra                                     </v>
      </c>
      <c r="C9">
        <f>[1]gdp_ssp2!C8</f>
        <v>11</v>
      </c>
      <c r="D9" s="1">
        <f>[1]gdp_ssp2!H8</f>
        <v>32869.31</v>
      </c>
      <c r="E9" s="1">
        <f>[1]gdp_ssp2!M8</f>
        <v>52847.938497032854</v>
      </c>
      <c r="F9" s="1">
        <f>[1]gdp_ssp2!R8</f>
        <v>101314.62848130196</v>
      </c>
    </row>
    <row r="10" spans="1:6">
      <c r="A10">
        <f>[1]gdp_ssp2!A9</f>
        <v>24</v>
      </c>
      <c r="B10" t="str">
        <f>[1]gdp_ssp2!B9</f>
        <v xml:space="preserve">Angola                                          </v>
      </c>
      <c r="C10">
        <f>[1]gdp_ssp2!C9</f>
        <v>26</v>
      </c>
      <c r="D10" s="1">
        <f>[1]gdp_ssp2!H9</f>
        <v>4238.8827226114199</v>
      </c>
      <c r="E10" s="1">
        <f>[1]gdp_ssp2!M9</f>
        <v>4204.1629455348902</v>
      </c>
      <c r="F10" s="1">
        <f>[1]gdp_ssp2!R9</f>
        <v>21072.755866078998</v>
      </c>
    </row>
    <row r="11" spans="1:6">
      <c r="A11">
        <f>[1]gdp_ssp2!A10</f>
        <v>31</v>
      </c>
      <c r="B11" t="str">
        <f>[1]gdp_ssp2!B10</f>
        <v>Azerbaijan</v>
      </c>
      <c r="C11">
        <f>[1]gdp_ssp2!C10</f>
        <v>16</v>
      </c>
      <c r="D11" s="1">
        <f>[1]gdp_ssp2!H10</f>
        <v>9823.1270000000004</v>
      </c>
      <c r="E11" s="1">
        <f>[1]gdp_ssp2!M10</f>
        <v>14587.58</v>
      </c>
      <c r="F11" s="1">
        <f>[1]gdp_ssp2!R10</f>
        <v>40616.129999999997</v>
      </c>
    </row>
    <row r="12" spans="1:6">
      <c r="A12">
        <f>[1]gdp_ssp2!A11</f>
        <v>32</v>
      </c>
      <c r="B12" t="str">
        <f>[1]gdp_ssp2!B11</f>
        <v>Argentina</v>
      </c>
      <c r="C12">
        <f>[1]gdp_ssp2!C11</f>
        <v>6</v>
      </c>
      <c r="D12" s="1">
        <f>[1]gdp_ssp2!H11</f>
        <v>13916.9</v>
      </c>
      <c r="E12" s="1">
        <f>[1]gdp_ssp2!M11</f>
        <v>22411.33</v>
      </c>
      <c r="F12" s="1">
        <f>[1]gdp_ssp2!R11</f>
        <v>46585.57</v>
      </c>
    </row>
    <row r="13" spans="1:6">
      <c r="A13">
        <f>[1]gdp_ssp2!A12</f>
        <v>36</v>
      </c>
      <c r="B13" t="str">
        <f>[1]gdp_ssp2!B12</f>
        <v xml:space="preserve">Australia                               </v>
      </c>
      <c r="C13">
        <f>[1]gdp_ssp2!C12</f>
        <v>24</v>
      </c>
      <c r="D13" s="1">
        <f>[1]gdp_ssp2!H12</f>
        <v>32202.03</v>
      </c>
      <c r="E13" s="1">
        <f>[1]gdp_ssp2!M12</f>
        <v>48536.27</v>
      </c>
      <c r="F13" s="1">
        <f>[1]gdp_ssp2!R12</f>
        <v>83265.19</v>
      </c>
    </row>
    <row r="14" spans="1:6">
      <c r="A14">
        <f>[1]gdp_ssp2!A13</f>
        <v>40</v>
      </c>
      <c r="B14" t="str">
        <f>[1]gdp_ssp2!B13</f>
        <v xml:space="preserve">Austria                                         </v>
      </c>
      <c r="C14">
        <f>[1]gdp_ssp2!C13</f>
        <v>11</v>
      </c>
      <c r="D14" s="1">
        <f>[1]gdp_ssp2!H13</f>
        <v>34614.46</v>
      </c>
      <c r="E14" s="1">
        <f>[1]gdp_ssp2!M13</f>
        <v>51416.76</v>
      </c>
      <c r="F14" s="1">
        <f>[1]gdp_ssp2!R13</f>
        <v>86313.53</v>
      </c>
    </row>
    <row r="15" spans="1:6">
      <c r="A15">
        <f>[1]gdp_ssp2!A14</f>
        <v>44</v>
      </c>
      <c r="B15" t="str">
        <f>[1]gdp_ssp2!B14</f>
        <v xml:space="preserve">Bahamas                                 </v>
      </c>
      <c r="C15">
        <f>[1]gdp_ssp2!C14</f>
        <v>4</v>
      </c>
      <c r="D15" s="1">
        <f>[1]gdp_ssp2!H14</f>
        <v>29301.08</v>
      </c>
      <c r="E15" s="1">
        <f>[1]gdp_ssp2!M14</f>
        <v>42711.199999999997</v>
      </c>
      <c r="F15" s="1">
        <f>[1]gdp_ssp2!R14</f>
        <v>78909.05</v>
      </c>
    </row>
    <row r="16" spans="1:6">
      <c r="A16">
        <f>[1]gdp_ssp2!A15</f>
        <v>48</v>
      </c>
      <c r="B16" t="str">
        <f>[1]gdp_ssp2!B15</f>
        <v xml:space="preserve">Bahrain                                            </v>
      </c>
      <c r="C16">
        <f>[1]gdp_ssp2!C15</f>
        <v>17</v>
      </c>
      <c r="D16" s="1">
        <f>[1]gdp_ssp2!H15</f>
        <v>21739.89</v>
      </c>
      <c r="E16" s="1">
        <f>[1]gdp_ssp2!M15</f>
        <v>45456.07</v>
      </c>
      <c r="F16" s="1">
        <f>[1]gdp_ssp2!R15</f>
        <v>89867.23</v>
      </c>
    </row>
    <row r="17" spans="1:6">
      <c r="A17">
        <f>[1]gdp_ssp2!A16</f>
        <v>50</v>
      </c>
      <c r="B17" t="str">
        <f>[1]gdp_ssp2!B16</f>
        <v>Bangladesh</v>
      </c>
      <c r="C17">
        <f>[1]gdp_ssp2!C16</f>
        <v>25</v>
      </c>
      <c r="D17" s="1">
        <f>[1]gdp_ssp2!H16</f>
        <v>1413.174</v>
      </c>
      <c r="E17" s="1">
        <f>[1]gdp_ssp2!M16</f>
        <v>6752.7719999999999</v>
      </c>
      <c r="F17" s="1">
        <f>[1]gdp_ssp2!R16</f>
        <v>25471.73</v>
      </c>
    </row>
    <row r="18" spans="1:6">
      <c r="A18">
        <f>[1]gdp_ssp2!A17</f>
        <v>51</v>
      </c>
      <c r="B18" t="str">
        <f>[1]gdp_ssp2!B17</f>
        <v xml:space="preserve">Armenia                                         </v>
      </c>
      <c r="C18">
        <f>[1]gdp_ssp2!C17</f>
        <v>16</v>
      </c>
      <c r="D18" s="1">
        <f>[1]gdp_ssp2!H17</f>
        <v>4118.0429999999997</v>
      </c>
      <c r="E18" s="1">
        <f>[1]gdp_ssp2!M17</f>
        <v>11157.97</v>
      </c>
      <c r="F18" s="1">
        <f>[1]gdp_ssp2!R17</f>
        <v>21911.78</v>
      </c>
    </row>
    <row r="19" spans="1:6">
      <c r="A19">
        <f>[1]gdp_ssp2!A18</f>
        <v>52</v>
      </c>
      <c r="B19" t="str">
        <f>[1]gdp_ssp2!B18</f>
        <v xml:space="preserve">Barbados                                </v>
      </c>
      <c r="C19">
        <f>[1]gdp_ssp2!C18</f>
        <v>4</v>
      </c>
      <c r="D19" s="1">
        <f>[1]gdp_ssp2!H18</f>
        <v>16053.16</v>
      </c>
      <c r="E19" s="1">
        <f>[1]gdp_ssp2!M18</f>
        <v>22767.16</v>
      </c>
      <c r="F19" s="1">
        <f>[1]gdp_ssp2!R18</f>
        <v>38913.33</v>
      </c>
    </row>
    <row r="20" spans="1:6">
      <c r="A20">
        <f>[1]gdp_ssp2!A19</f>
        <v>56</v>
      </c>
      <c r="B20" t="str">
        <f>[1]gdp_ssp2!B19</f>
        <v xml:space="preserve">Belgium                                          </v>
      </c>
      <c r="C20">
        <f>[1]gdp_ssp2!C19</f>
        <v>11</v>
      </c>
      <c r="D20" s="1">
        <f>[1]gdp_ssp2!H19</f>
        <v>32869.519999999997</v>
      </c>
      <c r="E20" s="1">
        <f>[1]gdp_ssp2!M19</f>
        <v>54150.05</v>
      </c>
      <c r="F20" s="1">
        <f>[1]gdp_ssp2!R19</f>
        <v>104959.2</v>
      </c>
    </row>
    <row r="21" spans="1:6">
      <c r="A21">
        <f>[1]gdp_ssp2!A20</f>
        <v>64</v>
      </c>
      <c r="B21" t="str">
        <f>[1]gdp_ssp2!B20</f>
        <v xml:space="preserve">Bhutan                                           </v>
      </c>
      <c r="C21">
        <f>[1]gdp_ssp2!C20</f>
        <v>25</v>
      </c>
      <c r="D21" s="1">
        <f>[1]gdp_ssp2!H20</f>
        <v>3823.7240000000002</v>
      </c>
      <c r="E21" s="1">
        <f>[1]gdp_ssp2!M20</f>
        <v>22987.32</v>
      </c>
      <c r="F21" s="1">
        <f>[1]gdp_ssp2!R20</f>
        <v>61746.49</v>
      </c>
    </row>
    <row r="22" spans="1:6">
      <c r="A22">
        <f>[1]gdp_ssp2!A21</f>
        <v>68</v>
      </c>
      <c r="B22" t="str">
        <f>[1]gdp_ssp2!B21</f>
        <v>Bolivia</v>
      </c>
      <c r="C22">
        <f>[1]gdp_ssp2!C21</f>
        <v>6</v>
      </c>
      <c r="D22" s="1">
        <f>[1]gdp_ssp2!H21</f>
        <v>3937.98</v>
      </c>
      <c r="E22" s="1">
        <f>[1]gdp_ssp2!M21</f>
        <v>14238.36</v>
      </c>
      <c r="F22" s="1">
        <f>[1]gdp_ssp2!R21</f>
        <v>59438.95</v>
      </c>
    </row>
    <row r="23" spans="1:6">
      <c r="A23">
        <f>[1]gdp_ssp2!A22</f>
        <v>70</v>
      </c>
      <c r="B23" t="str">
        <f>[1]gdp_ssp2!B22</f>
        <v xml:space="preserve">Bosnia and Herzegovina                          </v>
      </c>
      <c r="C23">
        <f>[1]gdp_ssp2!C22</f>
        <v>12</v>
      </c>
      <c r="D23" s="1">
        <f>[1]gdp_ssp2!H22</f>
        <v>7534.2879999999996</v>
      </c>
      <c r="E23" s="1">
        <f>[1]gdp_ssp2!M22</f>
        <v>24069.279999999999</v>
      </c>
      <c r="F23" s="1">
        <f>[1]gdp_ssp2!R22</f>
        <v>40941.870000000003</v>
      </c>
    </row>
    <row r="24" spans="1:6">
      <c r="A24">
        <f>[1]gdp_ssp2!A23</f>
        <v>72</v>
      </c>
      <c r="B24" t="str">
        <f>[1]gdp_ssp2!B23</f>
        <v xml:space="preserve">Botswana                                        </v>
      </c>
      <c r="C24">
        <f>[1]gdp_ssp2!C23</f>
        <v>26</v>
      </c>
      <c r="D24" s="1">
        <f>[1]gdp_ssp2!H23</f>
        <v>8820.5010000000002</v>
      </c>
      <c r="E24" s="1">
        <f>[1]gdp_ssp2!M23</f>
        <v>12974.47</v>
      </c>
      <c r="F24" s="1">
        <f>[1]gdp_ssp2!R23</f>
        <v>19907.27</v>
      </c>
    </row>
    <row r="25" spans="1:6">
      <c r="A25">
        <f>[1]gdp_ssp2!A24</f>
        <v>76</v>
      </c>
      <c r="B25" t="str">
        <f>[1]gdp_ssp2!B24</f>
        <v xml:space="preserve">Brazil                               </v>
      </c>
      <c r="C25">
        <f>[1]gdp_ssp2!C24</f>
        <v>5</v>
      </c>
      <c r="D25" s="1">
        <f>[1]gdp_ssp2!H24</f>
        <v>10082.66</v>
      </c>
      <c r="E25" s="1">
        <f>[1]gdp_ssp2!M24</f>
        <v>16845.32</v>
      </c>
      <c r="F25" s="1">
        <f>[1]gdp_ssp2!R24</f>
        <v>38085.050000000003</v>
      </c>
    </row>
    <row r="26" spans="1:6">
      <c r="A26">
        <f>[1]gdp_ssp2!A25</f>
        <v>84</v>
      </c>
      <c r="B26" t="str">
        <f>[1]gdp_ssp2!B25</f>
        <v xml:space="preserve">Belize                                  </v>
      </c>
      <c r="C26">
        <f>[1]gdp_ssp2!C25</f>
        <v>4</v>
      </c>
      <c r="D26" s="1">
        <f>[1]gdp_ssp2!H25</f>
        <v>7741.8429999999998</v>
      </c>
      <c r="E26" s="1">
        <f>[1]gdp_ssp2!M25</f>
        <v>18474.61</v>
      </c>
      <c r="F26" s="1">
        <f>[1]gdp_ssp2!R25</f>
        <v>70574.8</v>
      </c>
    </row>
    <row r="27" spans="1:6">
      <c r="A27">
        <f>[1]gdp_ssp2!A26</f>
        <v>90</v>
      </c>
      <c r="B27" t="str">
        <f>[1]gdp_ssp2!B26</f>
        <v xml:space="preserve">Solomon Islands                         </v>
      </c>
      <c r="C27">
        <f>[1]gdp_ssp2!C26</f>
        <v>24</v>
      </c>
      <c r="D27" s="1">
        <f>[1]gdp_ssp2!H26</f>
        <v>1461.2660000000001</v>
      </c>
      <c r="E27" s="1">
        <f>[1]gdp_ssp2!M26</f>
        <v>5566.5129999999999</v>
      </c>
      <c r="F27" s="1">
        <f>[1]gdp_ssp2!R26</f>
        <v>25128.560000000001</v>
      </c>
    </row>
    <row r="28" spans="1:6">
      <c r="A28">
        <f>[1]gdp_ssp2!A27</f>
        <v>96</v>
      </c>
      <c r="B28" t="str">
        <f>[1]gdp_ssp2!B27</f>
        <v xml:space="preserve">Brunei Darussalam                       </v>
      </c>
      <c r="C28">
        <f>[1]gdp_ssp2!C27</f>
        <v>21</v>
      </c>
      <c r="D28" s="1">
        <f>[1]gdp_ssp2!H27</f>
        <v>48689.23</v>
      </c>
      <c r="E28" s="1">
        <f>[1]gdp_ssp2!M27</f>
        <v>77007.11</v>
      </c>
      <c r="F28" s="1">
        <f>[1]gdp_ssp2!R27</f>
        <v>145582.1</v>
      </c>
    </row>
    <row r="29" spans="1:6">
      <c r="A29">
        <f>[1]gdp_ssp2!A28</f>
        <v>100</v>
      </c>
      <c r="B29" t="str">
        <f>[1]gdp_ssp2!B28</f>
        <v xml:space="preserve">Bulgaria                                        </v>
      </c>
      <c r="C29">
        <f>[1]gdp_ssp2!C28</f>
        <v>12</v>
      </c>
      <c r="D29" s="1">
        <f>[1]gdp_ssp2!H28</f>
        <v>11746.98</v>
      </c>
      <c r="E29" s="1">
        <f>[1]gdp_ssp2!M28</f>
        <v>34335.449999999997</v>
      </c>
      <c r="F29" s="1">
        <f>[1]gdp_ssp2!R28</f>
        <v>71951.05</v>
      </c>
    </row>
    <row r="30" spans="1:6">
      <c r="A30">
        <f>[1]gdp_ssp2!A29</f>
        <v>104</v>
      </c>
      <c r="B30" t="str">
        <f>[1]gdp_ssp2!B29</f>
        <v xml:space="preserve">Myanmar                                            </v>
      </c>
      <c r="C30">
        <f>[1]gdp_ssp2!C29</f>
        <v>21</v>
      </c>
      <c r="D30" s="1">
        <f>[1]gdp_ssp2!H29</f>
        <v>2229.3040000000001</v>
      </c>
      <c r="E30" s="1">
        <f>[1]gdp_ssp2!M29</f>
        <v>7764.509</v>
      </c>
      <c r="F30" s="1">
        <f>[1]gdp_ssp2!R29</f>
        <v>19874.080000000002</v>
      </c>
    </row>
    <row r="31" spans="1:6">
      <c r="A31">
        <f>[1]gdp_ssp2!A30</f>
        <v>108</v>
      </c>
      <c r="B31" t="str">
        <f>[1]gdp_ssp2!B30</f>
        <v xml:space="preserve">Burundi                                         </v>
      </c>
      <c r="C31">
        <f>[1]gdp_ssp2!C30</f>
        <v>9</v>
      </c>
      <c r="D31" s="1">
        <f>[1]gdp_ssp2!H30</f>
        <v>461.18939999999998</v>
      </c>
      <c r="E31" s="1">
        <f>[1]gdp_ssp2!M30</f>
        <v>2193.7860000000001</v>
      </c>
      <c r="F31" s="1">
        <f>[1]gdp_ssp2!R30</f>
        <v>25216.11</v>
      </c>
    </row>
    <row r="32" spans="1:6">
      <c r="A32">
        <f>[1]gdp_ssp2!A31</f>
        <v>112</v>
      </c>
      <c r="B32" t="str">
        <f>[1]gdp_ssp2!B31</f>
        <v xml:space="preserve">Belarus                                         </v>
      </c>
      <c r="C32">
        <f>[1]gdp_ssp2!C31</f>
        <v>14</v>
      </c>
      <c r="D32" s="1">
        <f>[1]gdp_ssp2!H31</f>
        <v>12678.9</v>
      </c>
      <c r="E32" s="1">
        <f>[1]gdp_ssp2!M31</f>
        <v>28029.65</v>
      </c>
      <c r="F32" s="1">
        <f>[1]gdp_ssp2!R31</f>
        <v>53838.93</v>
      </c>
    </row>
    <row r="33" spans="1:6">
      <c r="A33">
        <f>[1]gdp_ssp2!A32</f>
        <v>116</v>
      </c>
      <c r="B33" t="str">
        <f>[1]gdp_ssp2!B32</f>
        <v xml:space="preserve">Cambodia                                         </v>
      </c>
      <c r="C33">
        <f>[1]gdp_ssp2!C32</f>
        <v>21</v>
      </c>
      <c r="D33" s="1">
        <f>[1]gdp_ssp2!H32</f>
        <v>1524.4739999999999</v>
      </c>
      <c r="E33" s="1">
        <f>[1]gdp_ssp2!M32</f>
        <v>7916.8029999999999</v>
      </c>
      <c r="F33" s="1">
        <f>[1]gdp_ssp2!R32</f>
        <v>34723.94</v>
      </c>
    </row>
    <row r="34" spans="1:6">
      <c r="A34">
        <f>[1]gdp_ssp2!A33</f>
        <v>120</v>
      </c>
      <c r="B34" t="str">
        <f>[1]gdp_ssp2!B33</f>
        <v xml:space="preserve">Cameroon                                        </v>
      </c>
      <c r="C34">
        <f>[1]gdp_ssp2!C33</f>
        <v>8</v>
      </c>
      <c r="D34" s="1">
        <f>[1]gdp_ssp2!H33</f>
        <v>1460.4570000000001</v>
      </c>
      <c r="E34" s="1">
        <f>[1]gdp_ssp2!M33</f>
        <v>4342.0550000000003</v>
      </c>
      <c r="F34" s="1">
        <f>[1]gdp_ssp2!R33</f>
        <v>17011.68</v>
      </c>
    </row>
    <row r="35" spans="1:6">
      <c r="A35">
        <f>[1]gdp_ssp2!A34</f>
        <v>124</v>
      </c>
      <c r="B35" t="str">
        <f>[1]gdp_ssp2!B34</f>
        <v xml:space="preserve">Canada                                  </v>
      </c>
      <c r="C35">
        <f>[1]gdp_ssp2!C34</f>
        <v>1</v>
      </c>
      <c r="D35" s="1">
        <f>[1]gdp_ssp2!H34</f>
        <v>35234.42</v>
      </c>
      <c r="E35" s="1">
        <f>[1]gdp_ssp2!M34</f>
        <v>50577.81</v>
      </c>
      <c r="F35" s="1">
        <f>[1]gdp_ssp2!R34</f>
        <v>87462.94</v>
      </c>
    </row>
    <row r="36" spans="1:6">
      <c r="A36">
        <f>[1]gdp_ssp2!A35</f>
        <v>132</v>
      </c>
      <c r="B36" t="str">
        <f>[1]gdp_ssp2!B35</f>
        <v xml:space="preserve">Cape Verde                                      </v>
      </c>
      <c r="C36">
        <f>[1]gdp_ssp2!C35</f>
        <v>8</v>
      </c>
      <c r="D36" s="1">
        <f>[1]gdp_ssp2!H35</f>
        <v>3017.6930000000002</v>
      </c>
      <c r="E36" s="1">
        <f>[1]gdp_ssp2!M35</f>
        <v>4646.6760000000004</v>
      </c>
      <c r="F36" s="1">
        <f>[1]gdp_ssp2!R35</f>
        <v>10367.469999999999</v>
      </c>
    </row>
    <row r="37" spans="1:6">
      <c r="A37">
        <f>[1]gdp_ssp2!A36</f>
        <v>140</v>
      </c>
      <c r="B37" t="str">
        <f>[1]gdp_ssp2!B36</f>
        <v xml:space="preserve">Central African Republic                </v>
      </c>
      <c r="C37">
        <f>[1]gdp_ssp2!C36</f>
        <v>8</v>
      </c>
      <c r="D37" s="1">
        <f>[1]gdp_ssp2!H36</f>
        <v>453.68430000000001</v>
      </c>
      <c r="E37" s="1">
        <f>[1]gdp_ssp2!M36</f>
        <v>974.61649999999997</v>
      </c>
      <c r="F37" s="1">
        <f>[1]gdp_ssp2!R36</f>
        <v>6069.2759999999998</v>
      </c>
    </row>
    <row r="38" spans="1:6">
      <c r="A38">
        <f>[1]gdp_ssp2!A37</f>
        <v>144</v>
      </c>
      <c r="B38" t="str">
        <f>[1]gdp_ssp2!B37</f>
        <v xml:space="preserve">Sri Lanka                  </v>
      </c>
      <c r="C38">
        <f>[1]gdp_ssp2!C37</f>
        <v>25</v>
      </c>
      <c r="D38" s="1">
        <f>[1]gdp_ssp2!H37</f>
        <v>4771.2430000000004</v>
      </c>
      <c r="E38" s="1">
        <f>[1]gdp_ssp2!M37</f>
        <v>16290.31</v>
      </c>
      <c r="F38" s="1">
        <f>[1]gdp_ssp2!R37</f>
        <v>39359.910000000003</v>
      </c>
    </row>
    <row r="39" spans="1:6">
      <c r="A39">
        <f>[1]gdp_ssp2!A38</f>
        <v>148</v>
      </c>
      <c r="B39" t="str">
        <f>[1]gdp_ssp2!B38</f>
        <v xml:space="preserve">Chad                                            </v>
      </c>
      <c r="C39">
        <f>[1]gdp_ssp2!C38</f>
        <v>8</v>
      </c>
      <c r="D39" s="1">
        <f>[1]gdp_ssp2!H38</f>
        <v>972.17359999999996</v>
      </c>
      <c r="E39" s="1">
        <f>[1]gdp_ssp2!M38</f>
        <v>2841.6219999999998</v>
      </c>
      <c r="F39" s="1">
        <f>[1]gdp_ssp2!R38</f>
        <v>20611.64</v>
      </c>
    </row>
    <row r="40" spans="1:6">
      <c r="A40">
        <f>[1]gdp_ssp2!A39</f>
        <v>152</v>
      </c>
      <c r="B40" t="str">
        <f>[1]gdp_ssp2!B39</f>
        <v xml:space="preserve">Chile                                           </v>
      </c>
      <c r="C40">
        <f>[1]gdp_ssp2!C39</f>
        <v>6</v>
      </c>
      <c r="D40" s="1">
        <f>[1]gdp_ssp2!H39</f>
        <v>14286.56</v>
      </c>
      <c r="E40" s="1">
        <f>[1]gdp_ssp2!M39</f>
        <v>26401.17</v>
      </c>
      <c r="F40" s="1">
        <f>[1]gdp_ssp2!R39</f>
        <v>54040.62</v>
      </c>
    </row>
    <row r="41" spans="1:6">
      <c r="A41">
        <f>[1]gdp_ssp2!A40</f>
        <v>156</v>
      </c>
      <c r="B41" t="str">
        <f>[1]gdp_ssp2!B40</f>
        <v>China</v>
      </c>
      <c r="C41">
        <f>[1]gdp_ssp2!C40</f>
        <v>20</v>
      </c>
      <c r="D41" s="1">
        <f>[1]gdp_ssp2!H40</f>
        <v>8333.0300000000007</v>
      </c>
      <c r="E41" s="1">
        <f>[1]gdp_ssp2!M40</f>
        <v>42131.67</v>
      </c>
      <c r="F41" s="1">
        <f>[1]gdp_ssp2!R40</f>
        <v>80048.39</v>
      </c>
    </row>
    <row r="42" spans="1:6">
      <c r="A42">
        <f>[1]gdp_ssp2!A41</f>
        <v>158</v>
      </c>
      <c r="B42" t="str">
        <f>[1]gdp_ssp2!B41</f>
        <v xml:space="preserve">Taiwan. Province of China                                   </v>
      </c>
      <c r="C42">
        <f>[1]gdp_ssp2!C41</f>
        <v>20</v>
      </c>
      <c r="D42" s="1">
        <f>[1]gdp_ssp2!H41</f>
        <v>31995.410453270717</v>
      </c>
      <c r="E42" s="1">
        <f>[1]gdp_ssp2!M41</f>
        <v>177866.71438923321</v>
      </c>
      <c r="F42" s="1">
        <f>[1]gdp_ssp2!R41</f>
        <v>339452.05276130734</v>
      </c>
    </row>
    <row r="43" spans="1:6">
      <c r="A43">
        <f>[1]gdp_ssp2!A42</f>
        <v>170</v>
      </c>
      <c r="B43" t="str">
        <f>[1]gdp_ssp2!B42</f>
        <v xml:space="preserve">Colombia                                        </v>
      </c>
      <c r="C43">
        <f>[1]gdp_ssp2!C42</f>
        <v>6</v>
      </c>
      <c r="D43" s="1">
        <f>[1]gdp_ssp2!H42</f>
        <v>8084.2479999999996</v>
      </c>
      <c r="E43" s="1">
        <f>[1]gdp_ssp2!M42</f>
        <v>17505.5</v>
      </c>
      <c r="F43" s="1">
        <f>[1]gdp_ssp2!R42</f>
        <v>49557.62</v>
      </c>
    </row>
    <row r="44" spans="1:6">
      <c r="A44">
        <f>[1]gdp_ssp2!A43</f>
        <v>174</v>
      </c>
      <c r="B44" t="str">
        <f>[1]gdp_ssp2!B43</f>
        <v xml:space="preserve">Comoros                     </v>
      </c>
      <c r="C44">
        <f>[1]gdp_ssp2!C43</f>
        <v>9</v>
      </c>
      <c r="D44" s="1">
        <f>[1]gdp_ssp2!H43</f>
        <v>1524.9849999999999</v>
      </c>
      <c r="E44" s="1">
        <f>[1]gdp_ssp2!M43</f>
        <v>6252.9350000000004</v>
      </c>
      <c r="F44" s="1">
        <f>[1]gdp_ssp2!R43</f>
        <v>57286.81</v>
      </c>
    </row>
    <row r="45" spans="1:6">
      <c r="A45">
        <f>[1]gdp_ssp2!A44</f>
        <v>178</v>
      </c>
      <c r="B45" t="str">
        <f>[1]gdp_ssp2!B44</f>
        <v xml:space="preserve">Congo                                       </v>
      </c>
      <c r="C45">
        <f>[1]gdp_ssp2!C44</f>
        <v>8</v>
      </c>
      <c r="D45" s="1">
        <f>[1]gdp_ssp2!H44</f>
        <v>3808.1584526351012</v>
      </c>
      <c r="E45" s="1">
        <f>[1]gdp_ssp2!M44</f>
        <v>17606.223857378031</v>
      </c>
      <c r="F45" s="1">
        <f>[1]gdp_ssp2!R44</f>
        <v>104793.52151563697</v>
      </c>
    </row>
    <row r="46" spans="1:6">
      <c r="A46">
        <f>[1]gdp_ssp2!A45</f>
        <v>180</v>
      </c>
      <c r="B46" t="str">
        <f>[1]gdp_ssp2!B45</f>
        <v>Congo. The Dem. Rep. of the</v>
      </c>
      <c r="C46">
        <f>[1]gdp_ssp2!C45</f>
        <v>8</v>
      </c>
      <c r="D46" s="1">
        <f>[1]gdp_ssp2!H45</f>
        <v>334.99979999999999</v>
      </c>
      <c r="E46" s="1">
        <f>[1]gdp_ssp2!M45</f>
        <v>2899.7060000000001</v>
      </c>
      <c r="F46" s="1">
        <f>[1]gdp_ssp2!R45</f>
        <v>22729.21</v>
      </c>
    </row>
    <row r="47" spans="1:6">
      <c r="A47">
        <f>[1]gdp_ssp2!A46</f>
        <v>188</v>
      </c>
      <c r="B47" t="str">
        <f>[1]gdp_ssp2!B46</f>
        <v xml:space="preserve">Costa Rica                                      </v>
      </c>
      <c r="C47">
        <f>[1]gdp_ssp2!C46</f>
        <v>4</v>
      </c>
      <c r="D47" s="1">
        <f>[1]gdp_ssp2!H46</f>
        <v>12732.29</v>
      </c>
      <c r="E47" s="1">
        <f>[1]gdp_ssp2!M46</f>
        <v>34453.68</v>
      </c>
      <c r="F47" s="1">
        <f>[1]gdp_ssp2!R46</f>
        <v>87637.21</v>
      </c>
    </row>
    <row r="48" spans="1:6">
      <c r="A48">
        <f>[1]gdp_ssp2!A47</f>
        <v>191</v>
      </c>
      <c r="B48" t="str">
        <f>[1]gdp_ssp2!B47</f>
        <v xml:space="preserve">Croatia                                         </v>
      </c>
      <c r="C48">
        <f>[1]gdp_ssp2!C47</f>
        <v>12</v>
      </c>
      <c r="D48" s="1">
        <f>[1]gdp_ssp2!H47</f>
        <v>15896.94</v>
      </c>
      <c r="E48" s="1">
        <f>[1]gdp_ssp2!M47</f>
        <v>28773.8</v>
      </c>
      <c r="F48" s="1">
        <f>[1]gdp_ssp2!R47</f>
        <v>53606.7</v>
      </c>
    </row>
    <row r="49" spans="1:6">
      <c r="A49">
        <f>[1]gdp_ssp2!A48</f>
        <v>192</v>
      </c>
      <c r="B49" t="str">
        <f>[1]gdp_ssp2!B48</f>
        <v xml:space="preserve">Cuba                                            </v>
      </c>
      <c r="C49">
        <f>[1]gdp_ssp2!C48</f>
        <v>4</v>
      </c>
      <c r="D49" s="1">
        <f>[1]gdp_ssp2!H48</f>
        <v>5821.5360000000001</v>
      </c>
      <c r="E49" s="1">
        <f>[1]gdp_ssp2!M48</f>
        <v>10526.59</v>
      </c>
      <c r="F49" s="1">
        <f>[1]gdp_ssp2!R48</f>
        <v>20799.21</v>
      </c>
    </row>
    <row r="50" spans="1:6">
      <c r="A50">
        <f>[1]gdp_ssp2!A49</f>
        <v>196</v>
      </c>
      <c r="B50" t="str">
        <f>[1]gdp_ssp2!B49</f>
        <v xml:space="preserve">Cyprus                                          </v>
      </c>
      <c r="C50">
        <f>[1]gdp_ssp2!C49</f>
        <v>12</v>
      </c>
      <c r="D50" s="1">
        <f>[1]gdp_ssp2!H49</f>
        <v>19509.5</v>
      </c>
      <c r="E50" s="1">
        <f>[1]gdp_ssp2!M49</f>
        <v>36911.339999999997</v>
      </c>
      <c r="F50" s="1">
        <f>[1]gdp_ssp2!R49</f>
        <v>100402.9</v>
      </c>
    </row>
    <row r="51" spans="1:6">
      <c r="A51">
        <f>[1]gdp_ssp2!A50</f>
        <v>203</v>
      </c>
      <c r="B51" t="str">
        <f>[1]gdp_ssp2!B50</f>
        <v xml:space="preserve">Czech Republic                          </v>
      </c>
      <c r="C51">
        <f>[1]gdp_ssp2!C50</f>
        <v>12</v>
      </c>
      <c r="D51" s="1">
        <f>[1]gdp_ssp2!H50</f>
        <v>21750.34</v>
      </c>
      <c r="E51" s="1">
        <f>[1]gdp_ssp2!M50</f>
        <v>60159.17</v>
      </c>
      <c r="F51" s="1">
        <f>[1]gdp_ssp2!R50</f>
        <v>153420.29999999999</v>
      </c>
    </row>
    <row r="52" spans="1:6">
      <c r="A52">
        <f>[1]gdp_ssp2!A51</f>
        <v>204</v>
      </c>
      <c r="B52" t="str">
        <f>[1]gdp_ssp2!B51</f>
        <v xml:space="preserve">Benin                                           </v>
      </c>
      <c r="C52">
        <f>[1]gdp_ssp2!C51</f>
        <v>8</v>
      </c>
      <c r="D52" s="1">
        <f>[1]gdp_ssp2!H51</f>
        <v>923.45330000000001</v>
      </c>
      <c r="E52" s="1">
        <f>[1]gdp_ssp2!M51</f>
        <v>2916.337</v>
      </c>
      <c r="F52" s="1">
        <f>[1]gdp_ssp2!R51</f>
        <v>18691.91</v>
      </c>
    </row>
    <row r="53" spans="1:6">
      <c r="A53">
        <f>[1]gdp_ssp2!A52</f>
        <v>208</v>
      </c>
      <c r="B53" t="str">
        <f>[1]gdp_ssp2!B52</f>
        <v xml:space="preserve">Denmark                                          </v>
      </c>
      <c r="C53">
        <f>[1]gdp_ssp2!C52</f>
        <v>11</v>
      </c>
      <c r="D53" s="1">
        <f>[1]gdp_ssp2!H52</f>
        <v>35293.4</v>
      </c>
      <c r="E53" s="1">
        <f>[1]gdp_ssp2!M52</f>
        <v>55142.87</v>
      </c>
      <c r="F53" s="1">
        <f>[1]gdp_ssp2!R52</f>
        <v>126116.5</v>
      </c>
    </row>
    <row r="54" spans="1:6">
      <c r="A54">
        <f>[1]gdp_ssp2!A53</f>
        <v>212</v>
      </c>
      <c r="B54" t="str">
        <f>[1]gdp_ssp2!B53</f>
        <v xml:space="preserve">Dominica                                    </v>
      </c>
      <c r="C54">
        <f>[1]gdp_ssp2!C53</f>
        <v>4</v>
      </c>
      <c r="D54" s="1">
        <f>[1]gdp_ssp2!H53</f>
        <v>10137.94</v>
      </c>
      <c r="E54" s="1">
        <f>[1]gdp_ssp2!M53</f>
        <v>30825.74061789078</v>
      </c>
      <c r="F54" s="1">
        <f>[1]gdp_ssp2!R53</f>
        <v>110019.26468954262</v>
      </c>
    </row>
    <row r="55" spans="1:6">
      <c r="A55">
        <f>[1]gdp_ssp2!A54</f>
        <v>214</v>
      </c>
      <c r="B55" t="str">
        <f>[1]gdp_ssp2!B54</f>
        <v xml:space="preserve">Dominican Republic                      </v>
      </c>
      <c r="C55">
        <f>[1]gdp_ssp2!C54</f>
        <v>4</v>
      </c>
      <c r="D55" s="1">
        <f>[1]gdp_ssp2!H54</f>
        <v>11210.05</v>
      </c>
      <c r="E55" s="1">
        <f>[1]gdp_ssp2!M54</f>
        <v>33148.43</v>
      </c>
      <c r="F55" s="1">
        <f>[1]gdp_ssp2!R54</f>
        <v>85901.27</v>
      </c>
    </row>
    <row r="56" spans="1:6">
      <c r="A56">
        <f>[1]gdp_ssp2!A55</f>
        <v>218</v>
      </c>
      <c r="B56" t="str">
        <f>[1]gdp_ssp2!B55</f>
        <v xml:space="preserve">Ecuador                                         </v>
      </c>
      <c r="C56">
        <f>[1]gdp_ssp2!C55</f>
        <v>6</v>
      </c>
      <c r="D56" s="1">
        <f>[1]gdp_ssp2!H55</f>
        <v>6865.21</v>
      </c>
      <c r="E56" s="1">
        <f>[1]gdp_ssp2!M55</f>
        <v>15137.88</v>
      </c>
      <c r="F56" s="1">
        <f>[1]gdp_ssp2!R55</f>
        <v>49369.279999999999</v>
      </c>
    </row>
    <row r="57" spans="1:6">
      <c r="A57">
        <f>[1]gdp_ssp2!A56</f>
        <v>222</v>
      </c>
      <c r="B57" t="str">
        <f>[1]gdp_ssp2!B56</f>
        <v xml:space="preserve">El Salvador                                     </v>
      </c>
      <c r="C57">
        <f>[1]gdp_ssp2!C56</f>
        <v>4</v>
      </c>
      <c r="D57" s="1">
        <f>[1]gdp_ssp2!H56</f>
        <v>6195.2489999999998</v>
      </c>
      <c r="E57" s="1">
        <f>[1]gdp_ssp2!M56</f>
        <v>13619.99</v>
      </c>
      <c r="F57" s="1">
        <f>[1]gdp_ssp2!R56</f>
        <v>39909.449999999997</v>
      </c>
    </row>
    <row r="58" spans="1:6">
      <c r="A58">
        <f>[1]gdp_ssp2!A57</f>
        <v>226</v>
      </c>
      <c r="B58" t="str">
        <f>[1]gdp_ssp2!B57</f>
        <v xml:space="preserve">Equatorial Guinea                               </v>
      </c>
      <c r="C58">
        <f>[1]gdp_ssp2!C57</f>
        <v>8</v>
      </c>
      <c r="D58" s="1">
        <f>[1]gdp_ssp2!H57</f>
        <v>17257.88</v>
      </c>
      <c r="E58" s="1">
        <f>[1]gdp_ssp2!M57</f>
        <v>13491.68</v>
      </c>
      <c r="F58" s="1">
        <f>[1]gdp_ssp2!R57</f>
        <v>22241.759999999998</v>
      </c>
    </row>
    <row r="59" spans="1:6">
      <c r="A59">
        <f>[1]gdp_ssp2!A58</f>
        <v>231</v>
      </c>
      <c r="B59" t="str">
        <f>[1]gdp_ssp2!B58</f>
        <v>Ethiopia</v>
      </c>
      <c r="C59">
        <f>[1]gdp_ssp2!C58</f>
        <v>9</v>
      </c>
      <c r="D59" s="1">
        <f>[1]gdp_ssp2!H58</f>
        <v>675.44389999999999</v>
      </c>
      <c r="E59" s="1">
        <f>[1]gdp_ssp2!M58</f>
        <v>4407.6469999999999</v>
      </c>
      <c r="F59" s="1">
        <f>[1]gdp_ssp2!R58</f>
        <v>44446.71</v>
      </c>
    </row>
    <row r="60" spans="1:6">
      <c r="A60">
        <f>[1]gdp_ssp2!A59</f>
        <v>232</v>
      </c>
      <c r="B60" t="str">
        <f>[1]gdp_ssp2!B59</f>
        <v xml:space="preserve">Eritrea                                 </v>
      </c>
      <c r="C60">
        <f>[1]gdp_ssp2!C59</f>
        <v>9</v>
      </c>
      <c r="D60" s="1">
        <f>[1]gdp_ssp2!H59</f>
        <v>489.75231818635177</v>
      </c>
      <c r="E60" s="1">
        <f>[1]gdp_ssp2!M59</f>
        <v>2173.9786665485635</v>
      </c>
      <c r="F60" s="1">
        <f>[1]gdp_ssp2!R59</f>
        <v>14505.020256521067</v>
      </c>
    </row>
    <row r="61" spans="1:6">
      <c r="A61">
        <f>[1]gdp_ssp2!A60</f>
        <v>233</v>
      </c>
      <c r="B61" t="str">
        <f>[1]gdp_ssp2!B60</f>
        <v xml:space="preserve">Estonia                                         </v>
      </c>
      <c r="C61">
        <f>[1]gdp_ssp2!C60</f>
        <v>12</v>
      </c>
      <c r="D61" s="1">
        <f>[1]gdp_ssp2!H60</f>
        <v>17540.400000000001</v>
      </c>
      <c r="E61" s="1">
        <f>[1]gdp_ssp2!M60</f>
        <v>51322.45</v>
      </c>
      <c r="F61" s="1">
        <f>[1]gdp_ssp2!R60</f>
        <v>125957.8</v>
      </c>
    </row>
    <row r="62" spans="1:6">
      <c r="A62">
        <f>[1]gdp_ssp2!A61</f>
        <v>234</v>
      </c>
      <c r="B62" t="str">
        <f>[1]gdp_ssp2!B61</f>
        <v>Faroe Islands</v>
      </c>
      <c r="C62">
        <f>[1]gdp_ssp2!C61</f>
        <v>11</v>
      </c>
      <c r="D62" s="1">
        <f>[1]gdp_ssp2!H61</f>
        <v>31042.278404823133</v>
      </c>
      <c r="E62" s="1">
        <f>[1]gdp_ssp2!M61</f>
        <v>49910.407419620038</v>
      </c>
      <c r="F62" s="1">
        <f>[1]gdp_ssp2!R61</f>
        <v>95683.096235686229</v>
      </c>
    </row>
    <row r="63" spans="1:6">
      <c r="A63">
        <f>[1]gdp_ssp2!A62</f>
        <v>238</v>
      </c>
      <c r="B63" t="str">
        <f>[1]gdp_ssp2!B62</f>
        <v>Falklands Islands (Malvinas)</v>
      </c>
      <c r="C63">
        <f>[1]gdp_ssp2!C62</f>
        <v>6</v>
      </c>
      <c r="D63" s="1">
        <f>[1]gdp_ssp2!H62</f>
        <v>10118.165208214981</v>
      </c>
      <c r="E63" s="1">
        <f>[1]gdp_ssp2!M62</f>
        <v>22209.726371782363</v>
      </c>
      <c r="F63" s="1">
        <f>[1]gdp_ssp2!R62</f>
        <v>56672.461580382733</v>
      </c>
    </row>
    <row r="64" spans="1:6">
      <c r="A64">
        <f>[1]gdp_ssp2!A63</f>
        <v>242</v>
      </c>
      <c r="B64" t="str">
        <f>[1]gdp_ssp2!B63</f>
        <v xml:space="preserve">Fiji                                            </v>
      </c>
      <c r="C64">
        <f>[1]gdp_ssp2!C63</f>
        <v>24</v>
      </c>
      <c r="D64" s="1">
        <f>[1]gdp_ssp2!H63</f>
        <v>5742.576</v>
      </c>
      <c r="E64" s="1">
        <f>[1]gdp_ssp2!M63</f>
        <v>12973.22</v>
      </c>
      <c r="F64" s="1">
        <f>[1]gdp_ssp2!R63</f>
        <v>41553.67</v>
      </c>
    </row>
    <row r="65" spans="1:6">
      <c r="A65">
        <f>[1]gdp_ssp2!A64</f>
        <v>246</v>
      </c>
      <c r="B65" t="str">
        <f>[1]gdp_ssp2!B64</f>
        <v xml:space="preserve">Finland                                         </v>
      </c>
      <c r="C65">
        <f>[1]gdp_ssp2!C64</f>
        <v>11</v>
      </c>
      <c r="D65" s="1">
        <f>[1]gdp_ssp2!H64</f>
        <v>31991.01</v>
      </c>
      <c r="E65" s="1">
        <f>[1]gdp_ssp2!M64</f>
        <v>47857.95</v>
      </c>
      <c r="F65" s="1">
        <f>[1]gdp_ssp2!R64</f>
        <v>100772.4</v>
      </c>
    </row>
    <row r="66" spans="1:6">
      <c r="A66">
        <f>[1]gdp_ssp2!A65</f>
        <v>250</v>
      </c>
      <c r="B66" t="str">
        <f>[1]gdp_ssp2!B65</f>
        <v>France</v>
      </c>
      <c r="C66">
        <f>[1]gdp_ssp2!C65</f>
        <v>11</v>
      </c>
      <c r="D66" s="1">
        <f>[1]gdp_ssp2!H65</f>
        <v>30613.360000000001</v>
      </c>
      <c r="E66" s="1">
        <f>[1]gdp_ssp2!M65</f>
        <v>49545.96</v>
      </c>
      <c r="F66" s="1">
        <f>[1]gdp_ssp2!R65</f>
        <v>99607.64</v>
      </c>
    </row>
    <row r="67" spans="1:6">
      <c r="A67">
        <f>[1]gdp_ssp2!A66</f>
        <v>254</v>
      </c>
      <c r="B67" t="str">
        <f>[1]gdp_ssp2!B66</f>
        <v xml:space="preserve">French Guiana                           </v>
      </c>
      <c r="C67">
        <f>[1]gdp_ssp2!C66</f>
        <v>6</v>
      </c>
      <c r="D67" s="1">
        <f>[1]gdp_ssp2!H66</f>
        <v>10118.165208214981</v>
      </c>
      <c r="E67" s="1">
        <f>[1]gdp_ssp2!M66</f>
        <v>22209.726371782363</v>
      </c>
      <c r="F67" s="1">
        <f>[1]gdp_ssp2!R66</f>
        <v>56672.461580382733</v>
      </c>
    </row>
    <row r="68" spans="1:6">
      <c r="A68">
        <f>[1]gdp_ssp2!A67</f>
        <v>262</v>
      </c>
      <c r="B68" t="str">
        <f>[1]gdp_ssp2!B67</f>
        <v xml:space="preserve">Djibouti                                        </v>
      </c>
      <c r="C68">
        <f>[1]gdp_ssp2!C67</f>
        <v>9</v>
      </c>
      <c r="D68" s="1">
        <f>[1]gdp_ssp2!H67</f>
        <v>1693.337</v>
      </c>
      <c r="E68" s="1">
        <f>[1]gdp_ssp2!M67</f>
        <v>9410.152834205026</v>
      </c>
      <c r="F68" s="1">
        <f>[1]gdp_ssp2!R67</f>
        <v>62785.555156253395</v>
      </c>
    </row>
    <row r="69" spans="1:6">
      <c r="A69">
        <f>[1]gdp_ssp2!A68</f>
        <v>266</v>
      </c>
      <c r="B69" t="str">
        <f>[1]gdp_ssp2!B68</f>
        <v>Gabon</v>
      </c>
      <c r="C69">
        <f>[1]gdp_ssp2!C68</f>
        <v>8</v>
      </c>
      <c r="D69" s="1">
        <f>[1]gdp_ssp2!H68</f>
        <v>7873.7470000000003</v>
      </c>
      <c r="E69" s="1">
        <f>[1]gdp_ssp2!M68</f>
        <v>10010.34</v>
      </c>
      <c r="F69" s="1">
        <f>[1]gdp_ssp2!R68</f>
        <v>18883.099999999999</v>
      </c>
    </row>
    <row r="70" spans="1:6">
      <c r="A70">
        <f>[1]gdp_ssp2!A69</f>
        <v>268</v>
      </c>
      <c r="B70" t="str">
        <f>[1]gdp_ssp2!B69</f>
        <v xml:space="preserve">Georgia                                 </v>
      </c>
      <c r="C70">
        <f>[1]gdp_ssp2!C69</f>
        <v>16</v>
      </c>
      <c r="D70" s="1">
        <f>[1]gdp_ssp2!H69</f>
        <v>3962.3539999999998</v>
      </c>
      <c r="E70" s="1">
        <f>[1]gdp_ssp2!M69</f>
        <v>12786.79</v>
      </c>
      <c r="F70" s="1">
        <f>[1]gdp_ssp2!R69</f>
        <v>26702.06</v>
      </c>
    </row>
    <row r="71" spans="1:6">
      <c r="A71">
        <f>[1]gdp_ssp2!A70</f>
        <v>270</v>
      </c>
      <c r="B71" t="str">
        <f>[1]gdp_ssp2!B70</f>
        <v xml:space="preserve">Gambia                                      </v>
      </c>
      <c r="C71">
        <f>[1]gdp_ssp2!C70</f>
        <v>8</v>
      </c>
      <c r="D71" s="1">
        <f>[1]gdp_ssp2!H70</f>
        <v>787.79070000000002</v>
      </c>
      <c r="E71" s="1">
        <f>[1]gdp_ssp2!M70</f>
        <v>2052.1149999999998</v>
      </c>
      <c r="F71" s="1">
        <f>[1]gdp_ssp2!R70</f>
        <v>9085.6389999999992</v>
      </c>
    </row>
    <row r="72" spans="1:6">
      <c r="A72">
        <f>[1]gdp_ssp2!A71</f>
        <v>276</v>
      </c>
      <c r="B72" t="str">
        <f>[1]gdp_ssp2!B71</f>
        <v xml:space="preserve">Germany                                 </v>
      </c>
      <c r="C72">
        <f>[1]gdp_ssp2!C71</f>
        <v>11</v>
      </c>
      <c r="D72" s="1">
        <f>[1]gdp_ssp2!H71</f>
        <v>32853.47</v>
      </c>
      <c r="E72" s="1">
        <f>[1]gdp_ssp2!M71</f>
        <v>45043.72</v>
      </c>
      <c r="F72" s="1">
        <f>[1]gdp_ssp2!R71</f>
        <v>73543.58</v>
      </c>
    </row>
    <row r="73" spans="1:6">
      <c r="A73">
        <f>[1]gdp_ssp2!A72</f>
        <v>288</v>
      </c>
      <c r="B73" t="str">
        <f>[1]gdp_ssp2!B72</f>
        <v xml:space="preserve">Ghana                                           </v>
      </c>
      <c r="C73">
        <f>[1]gdp_ssp2!C72</f>
        <v>8</v>
      </c>
      <c r="D73" s="1">
        <f>[1]gdp_ssp2!H72</f>
        <v>1536.579</v>
      </c>
      <c r="E73" s="1">
        <f>[1]gdp_ssp2!M72</f>
        <v>5952.951</v>
      </c>
      <c r="F73" s="1">
        <f>[1]gdp_ssp2!R72</f>
        <v>26676.080000000002</v>
      </c>
    </row>
    <row r="74" spans="1:6">
      <c r="A74">
        <f>[1]gdp_ssp2!A73</f>
        <v>300</v>
      </c>
      <c r="B74" t="str">
        <f>[1]gdp_ssp2!B73</f>
        <v>Greece</v>
      </c>
      <c r="C74">
        <f>[1]gdp_ssp2!C73</f>
        <v>11</v>
      </c>
      <c r="D74" s="1">
        <f>[1]gdp_ssp2!H73</f>
        <v>23567.67</v>
      </c>
      <c r="E74" s="1">
        <f>[1]gdp_ssp2!M73</f>
        <v>31854.18</v>
      </c>
      <c r="F74" s="1">
        <f>[1]gdp_ssp2!R73</f>
        <v>61004.72</v>
      </c>
    </row>
    <row r="75" spans="1:6">
      <c r="A75">
        <f>[1]gdp_ssp2!A74</f>
        <v>304</v>
      </c>
      <c r="B75" t="str">
        <f>[1]gdp_ssp2!B74</f>
        <v xml:space="preserve">Greenland                               </v>
      </c>
      <c r="C75">
        <f>[1]gdp_ssp2!C74</f>
        <v>27</v>
      </c>
      <c r="D75" s="1">
        <f>[1]gdp_ssp2!H74</f>
        <v>30337.75</v>
      </c>
      <c r="E75" s="1">
        <f>[1]gdp_ssp2!M74</f>
        <v>48777.644652211646</v>
      </c>
      <c r="F75" s="1">
        <f>[1]gdp_ssp2!R74</f>
        <v>93511.480043999269</v>
      </c>
    </row>
    <row r="76" spans="1:6">
      <c r="A76">
        <f>[1]gdp_ssp2!A75</f>
        <v>308</v>
      </c>
      <c r="B76" t="str">
        <f>[1]gdp_ssp2!B75</f>
        <v xml:space="preserve">Grenada                                 </v>
      </c>
      <c r="C76">
        <f>[1]gdp_ssp2!C75</f>
        <v>4</v>
      </c>
      <c r="D76" s="1">
        <f>[1]gdp_ssp2!H75</f>
        <v>10864.32</v>
      </c>
      <c r="E76" s="1">
        <f>[1]gdp_ssp2!M75</f>
        <v>33034.407239899141</v>
      </c>
      <c r="F76" s="1">
        <f>[1]gdp_ssp2!R75</f>
        <v>117902.15323745522</v>
      </c>
    </row>
    <row r="77" spans="1:6">
      <c r="A77">
        <f>[1]gdp_ssp2!A76</f>
        <v>312</v>
      </c>
      <c r="B77" t="str">
        <f>[1]gdp_ssp2!B76</f>
        <v xml:space="preserve">Guadeloupe                              </v>
      </c>
      <c r="C77">
        <f>[1]gdp_ssp2!C76</f>
        <v>4</v>
      </c>
      <c r="D77" s="1">
        <f>[1]gdp_ssp2!H76</f>
        <v>6365.1169174139413</v>
      </c>
      <c r="E77" s="1">
        <f>[1]gdp_ssp2!M76</f>
        <v>19353.97565147854</v>
      </c>
      <c r="F77" s="1">
        <f>[1]gdp_ssp2!R76</f>
        <v>69075.718127569067</v>
      </c>
    </row>
    <row r="78" spans="1:6">
      <c r="A78">
        <f>[1]gdp_ssp2!A77</f>
        <v>320</v>
      </c>
      <c r="B78" t="str">
        <f>[1]gdp_ssp2!B77</f>
        <v xml:space="preserve">Guatemala                                       </v>
      </c>
      <c r="C78">
        <f>[1]gdp_ssp2!C77</f>
        <v>4</v>
      </c>
      <c r="D78" s="1">
        <f>[1]gdp_ssp2!H77</f>
        <v>6622.2150000000001</v>
      </c>
      <c r="E78" s="1">
        <f>[1]gdp_ssp2!M77</f>
        <v>26191.18</v>
      </c>
      <c r="F78" s="1">
        <f>[1]gdp_ssp2!R77</f>
        <v>143797.5</v>
      </c>
    </row>
    <row r="79" spans="1:6">
      <c r="A79">
        <f>[1]gdp_ssp2!A78</f>
        <v>324</v>
      </c>
      <c r="B79" t="str">
        <f>[1]gdp_ssp2!B78</f>
        <v xml:space="preserve">Guinea                                          </v>
      </c>
      <c r="C79">
        <f>[1]gdp_ssp2!C78</f>
        <v>8</v>
      </c>
      <c r="D79" s="1">
        <f>[1]gdp_ssp2!H78</f>
        <v>846.12929999999994</v>
      </c>
      <c r="E79" s="1">
        <f>[1]gdp_ssp2!M78</f>
        <v>5549.2479999999996</v>
      </c>
      <c r="F79" s="1">
        <f>[1]gdp_ssp2!R78</f>
        <v>22215.71</v>
      </c>
    </row>
    <row r="80" spans="1:6">
      <c r="A80">
        <f>[1]gdp_ssp2!A79</f>
        <v>328</v>
      </c>
      <c r="B80" t="str">
        <f>[1]gdp_ssp2!B79</f>
        <v xml:space="preserve">Guyana                                          </v>
      </c>
      <c r="C80">
        <f>[1]gdp_ssp2!C79</f>
        <v>6</v>
      </c>
      <c r="D80" s="1">
        <f>[1]gdp_ssp2!H79</f>
        <v>4298.116</v>
      </c>
      <c r="E80" s="1">
        <f>[1]gdp_ssp2!M79</f>
        <v>9654.4570000000003</v>
      </c>
      <c r="F80" s="1">
        <f>[1]gdp_ssp2!R79</f>
        <v>29870.89</v>
      </c>
    </row>
    <row r="81" spans="1:6">
      <c r="A81">
        <f>[1]gdp_ssp2!A80</f>
        <v>332</v>
      </c>
      <c r="B81" t="str">
        <f>[1]gdp_ssp2!B80</f>
        <v xml:space="preserve">Haiti                                           </v>
      </c>
      <c r="C81">
        <f>[1]gdp_ssp2!C80</f>
        <v>4</v>
      </c>
      <c r="D81" s="1">
        <f>[1]gdp_ssp2!H80</f>
        <v>1488.9780000000001</v>
      </c>
      <c r="E81" s="1">
        <f>[1]gdp_ssp2!M80</f>
        <v>8713.3330000000005</v>
      </c>
      <c r="F81" s="1">
        <f>[1]gdp_ssp2!R80</f>
        <v>56217.31</v>
      </c>
    </row>
    <row r="82" spans="1:6">
      <c r="A82">
        <f>[1]gdp_ssp2!A81</f>
        <v>340</v>
      </c>
      <c r="B82" t="str">
        <f>[1]gdp_ssp2!B81</f>
        <v xml:space="preserve">Honduras                                        </v>
      </c>
      <c r="C82">
        <f>[1]gdp_ssp2!C81</f>
        <v>4</v>
      </c>
      <c r="D82" s="1">
        <f>[1]gdp_ssp2!H81</f>
        <v>3859.09</v>
      </c>
      <c r="E82" s="1">
        <f>[1]gdp_ssp2!M81</f>
        <v>15377.19</v>
      </c>
      <c r="F82" s="1">
        <f>[1]gdp_ssp2!R81</f>
        <v>82774.710000000006</v>
      </c>
    </row>
    <row r="83" spans="1:6">
      <c r="A83">
        <f>[1]gdp_ssp2!A82</f>
        <v>344</v>
      </c>
      <c r="B83" t="str">
        <f>[1]gdp_ssp2!B82</f>
        <v xml:space="preserve">Hong Kong                               </v>
      </c>
      <c r="C83">
        <f>[1]gdp_ssp2!C82</f>
        <v>20</v>
      </c>
      <c r="D83" s="1">
        <f>[1]gdp_ssp2!H82</f>
        <v>43420.17</v>
      </c>
      <c r="E83" s="1">
        <f>[1]gdp_ssp2!M82</f>
        <v>106662.3</v>
      </c>
      <c r="F83" s="1">
        <f>[1]gdp_ssp2!R82</f>
        <v>226695.9</v>
      </c>
    </row>
    <row r="84" spans="1:6">
      <c r="A84">
        <f>[1]gdp_ssp2!A83</f>
        <v>348</v>
      </c>
      <c r="B84" t="str">
        <f>[1]gdp_ssp2!B83</f>
        <v xml:space="preserve">Hungary                                         </v>
      </c>
      <c r="C84">
        <f>[1]gdp_ssp2!C83</f>
        <v>12</v>
      </c>
      <c r="D84" s="1">
        <f>[1]gdp_ssp2!H83</f>
        <v>17415.330000000002</v>
      </c>
      <c r="E84" s="1">
        <f>[1]gdp_ssp2!M83</f>
        <v>40884.120000000003</v>
      </c>
      <c r="F84" s="1">
        <f>[1]gdp_ssp2!R83</f>
        <v>99857.96</v>
      </c>
    </row>
    <row r="85" spans="1:6">
      <c r="A85">
        <f>[1]gdp_ssp2!A84</f>
        <v>352</v>
      </c>
      <c r="B85" t="str">
        <f>[1]gdp_ssp2!B84</f>
        <v xml:space="preserve">Iceland                                         </v>
      </c>
      <c r="C85">
        <f>[1]gdp_ssp2!C84</f>
        <v>11</v>
      </c>
      <c r="D85" s="1">
        <f>[1]gdp_ssp2!H84</f>
        <v>31081.77</v>
      </c>
      <c r="E85" s="1">
        <f>[1]gdp_ssp2!M84</f>
        <v>78947.740000000005</v>
      </c>
      <c r="F85" s="1">
        <f>[1]gdp_ssp2!R84</f>
        <v>193058.3</v>
      </c>
    </row>
    <row r="86" spans="1:6">
      <c r="A86">
        <f>[1]gdp_ssp2!A85</f>
        <v>356</v>
      </c>
      <c r="B86" t="str">
        <f>[1]gdp_ssp2!B85</f>
        <v xml:space="preserve">India                                           </v>
      </c>
      <c r="C86">
        <f>[1]gdp_ssp2!C85</f>
        <v>18</v>
      </c>
      <c r="D86" s="1">
        <f>[1]gdp_ssp2!H85</f>
        <v>2984.3249999999998</v>
      </c>
      <c r="E86" s="1">
        <f>[1]gdp_ssp2!M85</f>
        <v>15258.29</v>
      </c>
      <c r="F86" s="1">
        <f>[1]gdp_ssp2!R85</f>
        <v>49136.67</v>
      </c>
    </row>
    <row r="87" spans="1:6">
      <c r="A87">
        <f>[1]gdp_ssp2!A86</f>
        <v>360</v>
      </c>
      <c r="B87" t="str">
        <f>[1]gdp_ssp2!B86</f>
        <v xml:space="preserve">Indonesia                                       </v>
      </c>
      <c r="C87">
        <f>[1]gdp_ssp2!C86</f>
        <v>22</v>
      </c>
      <c r="D87" s="1">
        <f>[1]gdp_ssp2!H86</f>
        <v>4056.357</v>
      </c>
      <c r="E87" s="1">
        <f>[1]gdp_ssp2!M86</f>
        <v>19286.05</v>
      </c>
      <c r="F87" s="1">
        <f>[1]gdp_ssp2!R86</f>
        <v>57290.1</v>
      </c>
    </row>
    <row r="88" spans="1:6">
      <c r="A88">
        <f>[1]gdp_ssp2!A87</f>
        <v>364</v>
      </c>
      <c r="B88" t="str">
        <f>[1]gdp_ssp2!B87</f>
        <v>Iran</v>
      </c>
      <c r="C88">
        <f>[1]gdp_ssp2!C87</f>
        <v>17</v>
      </c>
      <c r="D88" s="1">
        <f>[1]gdp_ssp2!H87</f>
        <v>9719.6859999999997</v>
      </c>
      <c r="E88" s="1">
        <f>[1]gdp_ssp2!M87</f>
        <v>14444.84</v>
      </c>
      <c r="F88" s="1">
        <f>[1]gdp_ssp2!R87</f>
        <v>25673.83</v>
      </c>
    </row>
    <row r="89" spans="1:6">
      <c r="A89">
        <f>[1]gdp_ssp2!A88</f>
        <v>368</v>
      </c>
      <c r="B89" t="str">
        <f>[1]gdp_ssp2!B88</f>
        <v xml:space="preserve">Iraq                                            </v>
      </c>
      <c r="C89">
        <f>[1]gdp_ssp2!C88</f>
        <v>17</v>
      </c>
      <c r="D89" s="1">
        <f>[1]gdp_ssp2!H88</f>
        <v>7048.6670000000004</v>
      </c>
      <c r="E89" s="1">
        <f>[1]gdp_ssp2!M88</f>
        <v>16785</v>
      </c>
      <c r="F89" s="1">
        <f>[1]gdp_ssp2!R88</f>
        <v>61582.7</v>
      </c>
    </row>
    <row r="90" spans="1:6">
      <c r="A90">
        <f>[1]gdp_ssp2!A89</f>
        <v>372</v>
      </c>
      <c r="B90" t="str">
        <f>[1]gdp_ssp2!B89</f>
        <v xml:space="preserve">Ireland                                 </v>
      </c>
      <c r="C90">
        <f>[1]gdp_ssp2!C89</f>
        <v>11</v>
      </c>
      <c r="D90" s="1">
        <f>[1]gdp_ssp2!H89</f>
        <v>35409.9</v>
      </c>
      <c r="E90" s="1">
        <f>[1]gdp_ssp2!M89</f>
        <v>90300.03</v>
      </c>
      <c r="F90" s="1">
        <f>[1]gdp_ssp2!R89</f>
        <v>187519.7</v>
      </c>
    </row>
    <row r="91" spans="1:6">
      <c r="A91">
        <f>[1]gdp_ssp2!A90</f>
        <v>376</v>
      </c>
      <c r="B91" t="str">
        <f>[1]gdp_ssp2!B90</f>
        <v xml:space="preserve">Israel                                             </v>
      </c>
      <c r="C91">
        <f>[1]gdp_ssp2!C90</f>
        <v>17</v>
      </c>
      <c r="D91" s="1">
        <f>[1]gdp_ssp2!H90</f>
        <v>16539.22</v>
      </c>
      <c r="E91" s="1">
        <f>[1]gdp_ssp2!M90</f>
        <v>30875.11</v>
      </c>
      <c r="F91" s="1">
        <f>[1]gdp_ssp2!R90</f>
        <v>86769.96</v>
      </c>
    </row>
    <row r="92" spans="1:6">
      <c r="A92">
        <f>[1]gdp_ssp2!A91</f>
        <v>380</v>
      </c>
      <c r="B92" t="str">
        <f>[1]gdp_ssp2!B91</f>
        <v>Italy</v>
      </c>
      <c r="C92">
        <f>[1]gdp_ssp2!C91</f>
        <v>11</v>
      </c>
      <c r="D92" s="1">
        <f>[1]gdp_ssp2!H91</f>
        <v>29052.880000000001</v>
      </c>
      <c r="E92" s="1">
        <f>[1]gdp_ssp2!M91</f>
        <v>36920.54</v>
      </c>
      <c r="F92" s="1">
        <f>[1]gdp_ssp2!R91</f>
        <v>66152.899999999994</v>
      </c>
    </row>
    <row r="93" spans="1:6">
      <c r="A93">
        <f>[1]gdp_ssp2!A92</f>
        <v>384</v>
      </c>
      <c r="B93" t="str">
        <f>[1]gdp_ssp2!B92</f>
        <v xml:space="preserve">Cote d'Ivoire                                    </v>
      </c>
      <c r="C93">
        <f>[1]gdp_ssp2!C92</f>
        <v>8</v>
      </c>
      <c r="D93" s="1">
        <f>[1]gdp_ssp2!H92</f>
        <v>1357.1759999999999</v>
      </c>
      <c r="E93" s="1">
        <f>[1]gdp_ssp2!M92</f>
        <v>7714.076</v>
      </c>
      <c r="F93" s="1">
        <f>[1]gdp_ssp2!R92</f>
        <v>27056.66</v>
      </c>
    </row>
    <row r="94" spans="1:6">
      <c r="A94">
        <f>[1]gdp_ssp2!A93</f>
        <v>388</v>
      </c>
      <c r="B94" t="str">
        <f>[1]gdp_ssp2!B93</f>
        <v xml:space="preserve">Jamaica                                 </v>
      </c>
      <c r="C94">
        <f>[1]gdp_ssp2!C93</f>
        <v>4</v>
      </c>
      <c r="D94" s="1">
        <f>[1]gdp_ssp2!H93</f>
        <v>7908.7160000000003</v>
      </c>
      <c r="E94" s="1">
        <f>[1]gdp_ssp2!M93</f>
        <v>13026.05</v>
      </c>
      <c r="F94" s="1">
        <f>[1]gdp_ssp2!R93</f>
        <v>38277.01</v>
      </c>
    </row>
    <row r="95" spans="1:6">
      <c r="A95">
        <f>[1]gdp_ssp2!A94</f>
        <v>392</v>
      </c>
      <c r="B95" t="str">
        <f>[1]gdp_ssp2!B94</f>
        <v xml:space="preserve">Japan                                   </v>
      </c>
      <c r="C95">
        <f>[1]gdp_ssp2!C94</f>
        <v>23</v>
      </c>
      <c r="D95" s="1">
        <f>[1]gdp_ssp2!H94</f>
        <v>30724.65</v>
      </c>
      <c r="E95" s="1">
        <f>[1]gdp_ssp2!M94</f>
        <v>46701.72</v>
      </c>
      <c r="F95" s="1">
        <f>[1]gdp_ssp2!R94</f>
        <v>86464.16</v>
      </c>
    </row>
    <row r="96" spans="1:6">
      <c r="A96">
        <f>[1]gdp_ssp2!A95</f>
        <v>398</v>
      </c>
      <c r="B96" t="str">
        <f>[1]gdp_ssp2!B95</f>
        <v xml:space="preserve">Kazakstan                                      </v>
      </c>
      <c r="C96">
        <f>[1]gdp_ssp2!C95</f>
        <v>15</v>
      </c>
      <c r="D96" s="1">
        <f>[1]gdp_ssp2!H95</f>
        <v>12142.31</v>
      </c>
      <c r="E96" s="1">
        <f>[1]gdp_ssp2!M95</f>
        <v>31213.86</v>
      </c>
      <c r="F96" s="1">
        <f>[1]gdp_ssp2!R95</f>
        <v>51174.84</v>
      </c>
    </row>
    <row r="97" spans="1:6">
      <c r="A97">
        <f>[1]gdp_ssp2!A96</f>
        <v>400</v>
      </c>
      <c r="B97" t="str">
        <f>[1]gdp_ssp2!B96</f>
        <v xml:space="preserve">Jordan                                 </v>
      </c>
      <c r="C97">
        <f>[1]gdp_ssp2!C96</f>
        <v>17</v>
      </c>
      <c r="D97" s="1">
        <f>[1]gdp_ssp2!H96</f>
        <v>5020.7020000000002</v>
      </c>
      <c r="E97" s="1">
        <f>[1]gdp_ssp2!M96</f>
        <v>15339.28</v>
      </c>
      <c r="F97" s="1">
        <f>[1]gdp_ssp2!R96</f>
        <v>53842.19</v>
      </c>
    </row>
    <row r="98" spans="1:6">
      <c r="A98">
        <f>[1]gdp_ssp2!A97</f>
        <v>404</v>
      </c>
      <c r="B98" t="str">
        <f>[1]gdp_ssp2!B97</f>
        <v xml:space="preserve">Kenya                                           </v>
      </c>
      <c r="C98">
        <f>[1]gdp_ssp2!C97</f>
        <v>9</v>
      </c>
      <c r="D98" s="1">
        <f>[1]gdp_ssp2!H97</f>
        <v>1531.06</v>
      </c>
      <c r="E98" s="1">
        <f>[1]gdp_ssp2!M97</f>
        <v>6222.5770000000002</v>
      </c>
      <c r="F98" s="1">
        <f>[1]gdp_ssp2!R97</f>
        <v>48745.89</v>
      </c>
    </row>
    <row r="99" spans="1:6">
      <c r="A99">
        <f>[1]gdp_ssp2!A98</f>
        <v>408</v>
      </c>
      <c r="B99" t="str">
        <f>[1]gdp_ssp2!B98</f>
        <v>Korea. Dem. People's Rep. of</v>
      </c>
      <c r="C99">
        <f>[1]gdp_ssp2!C98</f>
        <v>19</v>
      </c>
      <c r="D99" s="1">
        <f>[1]gdp_ssp2!H98</f>
        <v>529.63570000000004</v>
      </c>
      <c r="E99" s="1">
        <f>[1]gdp_ssp2!M98</f>
        <v>1041.26</v>
      </c>
      <c r="F99" s="1">
        <f>[1]gdp_ssp2!R98</f>
        <v>1954.11</v>
      </c>
    </row>
    <row r="100" spans="1:6">
      <c r="A100">
        <f>[1]gdp_ssp2!A99</f>
        <v>410</v>
      </c>
      <c r="B100" t="str">
        <f>[1]gdp_ssp2!B99</f>
        <v>Korea. Republic of</v>
      </c>
      <c r="C100">
        <f>[1]gdp_ssp2!C99</f>
        <v>19</v>
      </c>
      <c r="D100" s="1">
        <f>[1]gdp_ssp2!H99</f>
        <v>27479.599999999999</v>
      </c>
      <c r="E100" s="1">
        <f>[1]gdp_ssp2!M99</f>
        <v>64565.58</v>
      </c>
      <c r="F100" s="1">
        <f>[1]gdp_ssp2!R99</f>
        <v>121168.8</v>
      </c>
    </row>
    <row r="101" spans="1:6">
      <c r="A101">
        <f>[1]gdp_ssp2!A100</f>
        <v>414</v>
      </c>
      <c r="B101" t="str">
        <f>[1]gdp_ssp2!B100</f>
        <v xml:space="preserve">Kuwait                                             </v>
      </c>
      <c r="C101">
        <f>[1]gdp_ssp2!C100</f>
        <v>17</v>
      </c>
      <c r="D101" s="1">
        <f>[1]gdp_ssp2!H100</f>
        <v>40382.01</v>
      </c>
      <c r="E101" s="1">
        <f>[1]gdp_ssp2!M100</f>
        <v>55903.15</v>
      </c>
      <c r="F101" s="1">
        <f>[1]gdp_ssp2!R100</f>
        <v>82266.490000000005</v>
      </c>
    </row>
    <row r="102" spans="1:6">
      <c r="A102">
        <f>[1]gdp_ssp2!A101</f>
        <v>417</v>
      </c>
      <c r="B102" t="str">
        <f>[1]gdp_ssp2!B101</f>
        <v>Kyrgyzstan</v>
      </c>
      <c r="C102">
        <f>[1]gdp_ssp2!C101</f>
        <v>15</v>
      </c>
      <c r="D102" s="1">
        <f>[1]gdp_ssp2!H101</f>
        <v>1686.5530000000001</v>
      </c>
      <c r="E102" s="1">
        <f>[1]gdp_ssp2!M101</f>
        <v>7488.0060000000003</v>
      </c>
      <c r="F102" s="1">
        <f>[1]gdp_ssp2!R101</f>
        <v>27572.48</v>
      </c>
    </row>
    <row r="103" spans="1:6">
      <c r="A103">
        <f>[1]gdp_ssp2!A102</f>
        <v>418</v>
      </c>
      <c r="B103" t="str">
        <f>[1]gdp_ssp2!B102</f>
        <v>Lao People's Dem. Rep.</v>
      </c>
      <c r="C103">
        <f>[1]gdp_ssp2!C102</f>
        <v>21</v>
      </c>
      <c r="D103" s="1">
        <f>[1]gdp_ssp2!H102</f>
        <v>2548.6289999999999</v>
      </c>
      <c r="E103" s="1">
        <f>[1]gdp_ssp2!M102</f>
        <v>14424.51</v>
      </c>
      <c r="F103" s="1">
        <f>[1]gdp_ssp2!R102</f>
        <v>55760.08</v>
      </c>
    </row>
    <row r="104" spans="1:6">
      <c r="A104">
        <f>[1]gdp_ssp2!A103</f>
        <v>422</v>
      </c>
      <c r="B104" t="str">
        <f>[1]gdp_ssp2!B103</f>
        <v>Lebanon</v>
      </c>
      <c r="C104">
        <f>[1]gdp_ssp2!C103</f>
        <v>17</v>
      </c>
      <c r="D104" s="1">
        <f>[1]gdp_ssp2!H103</f>
        <v>7719.5020000000004</v>
      </c>
      <c r="E104" s="1">
        <f>[1]gdp_ssp2!M103</f>
        <v>9477.5529999999999</v>
      </c>
      <c r="F104" s="1">
        <f>[1]gdp_ssp2!R103</f>
        <v>15212.82</v>
      </c>
    </row>
    <row r="105" spans="1:6">
      <c r="A105">
        <f>[1]gdp_ssp2!A104</f>
        <v>426</v>
      </c>
      <c r="B105" t="str">
        <f>[1]gdp_ssp2!B104</f>
        <v xml:space="preserve">Lesotho                                          </v>
      </c>
      <c r="C105">
        <f>[1]gdp_ssp2!C104</f>
        <v>26</v>
      </c>
      <c r="D105" s="1">
        <f>[1]gdp_ssp2!H104</f>
        <v>1612.0889999999999</v>
      </c>
      <c r="E105" s="1">
        <f>[1]gdp_ssp2!M104</f>
        <v>4306.5110000000004</v>
      </c>
      <c r="F105" s="1">
        <f>[1]gdp_ssp2!R104</f>
        <v>20209.310000000001</v>
      </c>
    </row>
    <row r="106" spans="1:6">
      <c r="A106">
        <f>[1]gdp_ssp2!A105</f>
        <v>428</v>
      </c>
      <c r="B106" t="str">
        <f>[1]gdp_ssp2!B105</f>
        <v xml:space="preserve">Latvia                                          </v>
      </c>
      <c r="C106">
        <f>[1]gdp_ssp2!C105</f>
        <v>12</v>
      </c>
      <c r="D106" s="1">
        <f>[1]gdp_ssp2!H105</f>
        <v>13942.94</v>
      </c>
      <c r="E106" s="1">
        <f>[1]gdp_ssp2!M105</f>
        <v>36201.620000000003</v>
      </c>
      <c r="F106" s="1">
        <f>[1]gdp_ssp2!R105</f>
        <v>70012</v>
      </c>
    </row>
    <row r="107" spans="1:6">
      <c r="A107">
        <f>[1]gdp_ssp2!A106</f>
        <v>430</v>
      </c>
      <c r="B107" t="str">
        <f>[1]gdp_ssp2!B106</f>
        <v xml:space="preserve">Liberia                                         </v>
      </c>
      <c r="C107">
        <f>[1]gdp_ssp2!C106</f>
        <v>8</v>
      </c>
      <c r="D107" s="1">
        <f>[1]gdp_ssp2!H106</f>
        <v>559.25909999999999</v>
      </c>
      <c r="E107" s="1">
        <f>[1]gdp_ssp2!M106</f>
        <v>3574.5160000000001</v>
      </c>
      <c r="F107" s="1">
        <f>[1]gdp_ssp2!R106</f>
        <v>28617.66</v>
      </c>
    </row>
    <row r="108" spans="1:6">
      <c r="A108">
        <f>[1]gdp_ssp2!A107</f>
        <v>434</v>
      </c>
      <c r="B108" t="str">
        <f>[1]gdp_ssp2!B107</f>
        <v>Libyan Arab Jamahiriya</v>
      </c>
      <c r="C108">
        <f>[1]gdp_ssp2!C107</f>
        <v>7</v>
      </c>
      <c r="D108" s="1">
        <f>[1]gdp_ssp2!H107</f>
        <v>16087.14</v>
      </c>
      <c r="E108" s="1">
        <f>[1]gdp_ssp2!M107</f>
        <v>17404.419999999998</v>
      </c>
      <c r="F108" s="1">
        <f>[1]gdp_ssp2!R107</f>
        <v>38930.5</v>
      </c>
    </row>
    <row r="109" spans="1:6">
      <c r="A109">
        <f>[1]gdp_ssp2!A108</f>
        <v>438</v>
      </c>
      <c r="B109" t="str">
        <f>[1]gdp_ssp2!B108</f>
        <v xml:space="preserve">Liechtenstein                               </v>
      </c>
      <c r="C109">
        <f>[1]gdp_ssp2!C108</f>
        <v>11</v>
      </c>
      <c r="D109" s="1">
        <f>[1]gdp_ssp2!H108</f>
        <v>129186.7</v>
      </c>
      <c r="E109" s="1">
        <f>[1]gdp_ssp2!M108</f>
        <v>207709.02470229246</v>
      </c>
      <c r="F109" s="1">
        <f>[1]gdp_ssp2!R108</f>
        <v>398198.36437154212</v>
      </c>
    </row>
    <row r="110" spans="1:6">
      <c r="A110">
        <f>[1]gdp_ssp2!A109</f>
        <v>440</v>
      </c>
      <c r="B110" t="str">
        <f>[1]gdp_ssp2!B109</f>
        <v xml:space="preserve">Lithuania                                       </v>
      </c>
      <c r="C110">
        <f>[1]gdp_ssp2!C109</f>
        <v>12</v>
      </c>
      <c r="D110" s="1">
        <f>[1]gdp_ssp2!H109</f>
        <v>16121.48</v>
      </c>
      <c r="E110" s="1">
        <f>[1]gdp_ssp2!M109</f>
        <v>38452.629999999997</v>
      </c>
      <c r="F110" s="1">
        <f>[1]gdp_ssp2!R109</f>
        <v>67075.13</v>
      </c>
    </row>
    <row r="111" spans="1:6">
      <c r="A111">
        <f>[1]gdp_ssp2!A110</f>
        <v>442</v>
      </c>
      <c r="B111" t="str">
        <f>[1]gdp_ssp2!B110</f>
        <v xml:space="preserve">Luxembourg                                   </v>
      </c>
      <c r="C111">
        <f>[1]gdp_ssp2!C110</f>
        <v>11</v>
      </c>
      <c r="D111" s="1">
        <f>[1]gdp_ssp2!H110</f>
        <v>73551.11</v>
      </c>
      <c r="E111" s="1">
        <f>[1]gdp_ssp2!M110</f>
        <v>117324.6</v>
      </c>
      <c r="F111" s="1">
        <f>[1]gdp_ssp2!R110</f>
        <v>190487.4</v>
      </c>
    </row>
    <row r="112" spans="1:6">
      <c r="A112">
        <f>[1]gdp_ssp2!A111</f>
        <v>450</v>
      </c>
      <c r="B112" t="str">
        <f>[1]gdp_ssp2!B111</f>
        <v xml:space="preserve">Madagascar                                      </v>
      </c>
      <c r="C112">
        <f>[1]gdp_ssp2!C111</f>
        <v>9</v>
      </c>
      <c r="D112" s="1">
        <f>[1]gdp_ssp2!H111</f>
        <v>870.98199999999997</v>
      </c>
      <c r="E112" s="1">
        <f>[1]gdp_ssp2!M111</f>
        <v>4051.1239999999998</v>
      </c>
      <c r="F112" s="1">
        <f>[1]gdp_ssp2!R111</f>
        <v>48203.31</v>
      </c>
    </row>
    <row r="113" spans="1:6">
      <c r="A113">
        <f>[1]gdp_ssp2!A112</f>
        <v>454</v>
      </c>
      <c r="B113" t="str">
        <f>[1]gdp_ssp2!B112</f>
        <v xml:space="preserve">Malawi                                          </v>
      </c>
      <c r="C113">
        <f>[1]gdp_ssp2!C112</f>
        <v>26</v>
      </c>
      <c r="D113" s="1">
        <f>[1]gdp_ssp2!H112</f>
        <v>718.12249999999995</v>
      </c>
      <c r="E113" s="1">
        <f>[1]gdp_ssp2!M112</f>
        <v>3317.7179999999998</v>
      </c>
      <c r="F113" s="1">
        <f>[1]gdp_ssp2!R112</f>
        <v>35884.339999999997</v>
      </c>
    </row>
    <row r="114" spans="1:6">
      <c r="A114">
        <f>[1]gdp_ssp2!A113</f>
        <v>458</v>
      </c>
      <c r="B114" t="str">
        <f>[1]gdp_ssp2!B113</f>
        <v xml:space="preserve">Malaysia                                </v>
      </c>
      <c r="C114">
        <f>[1]gdp_ssp2!C113</f>
        <v>21</v>
      </c>
      <c r="D114" s="1">
        <f>[1]gdp_ssp2!H113</f>
        <v>12713.82</v>
      </c>
      <c r="E114" s="1">
        <f>[1]gdp_ssp2!M113</f>
        <v>42369.91</v>
      </c>
      <c r="F114" s="1">
        <f>[1]gdp_ssp2!R113</f>
        <v>110417.2</v>
      </c>
    </row>
    <row r="115" spans="1:6">
      <c r="A115">
        <f>[1]gdp_ssp2!A114</f>
        <v>466</v>
      </c>
      <c r="B115" t="str">
        <f>[1]gdp_ssp2!B114</f>
        <v xml:space="preserve">Mali                                            </v>
      </c>
      <c r="C115">
        <f>[1]gdp_ssp2!C114</f>
        <v>8</v>
      </c>
      <c r="D115" s="1">
        <f>[1]gdp_ssp2!H114</f>
        <v>952.09259999999995</v>
      </c>
      <c r="E115" s="1">
        <f>[1]gdp_ssp2!M114</f>
        <v>3734.53</v>
      </c>
      <c r="F115" s="1">
        <f>[1]gdp_ssp2!R114</f>
        <v>26829.89</v>
      </c>
    </row>
    <row r="116" spans="1:6">
      <c r="A116">
        <f>[1]gdp_ssp2!A115</f>
        <v>470</v>
      </c>
      <c r="B116" t="str">
        <f>[1]gdp_ssp2!B115</f>
        <v xml:space="preserve">Malta                                           </v>
      </c>
      <c r="C116">
        <f>[1]gdp_ssp2!C115</f>
        <v>12</v>
      </c>
      <c r="D116" s="1">
        <f>[1]gdp_ssp2!H115</f>
        <v>22791.11</v>
      </c>
      <c r="E116" s="1">
        <f>[1]gdp_ssp2!M115</f>
        <v>52906.68</v>
      </c>
      <c r="F116" s="1">
        <f>[1]gdp_ssp2!R115</f>
        <v>83131.75</v>
      </c>
    </row>
    <row r="117" spans="1:6">
      <c r="A117">
        <f>[1]gdp_ssp2!A116</f>
        <v>474</v>
      </c>
      <c r="B117" t="str">
        <f>[1]gdp_ssp2!B116</f>
        <v xml:space="preserve">Martinique                              </v>
      </c>
      <c r="C117">
        <f>[1]gdp_ssp2!C116</f>
        <v>4</v>
      </c>
      <c r="D117" s="1">
        <f>[1]gdp_ssp2!H116</f>
        <v>6365.1169174139413</v>
      </c>
      <c r="E117" s="1">
        <f>[1]gdp_ssp2!M116</f>
        <v>19353.97565147854</v>
      </c>
      <c r="F117" s="1">
        <f>[1]gdp_ssp2!R116</f>
        <v>69075.718127569067</v>
      </c>
    </row>
    <row r="118" spans="1:6">
      <c r="A118">
        <f>[1]gdp_ssp2!A117</f>
        <v>478</v>
      </c>
      <c r="B118" t="str">
        <f>[1]gdp_ssp2!B117</f>
        <v xml:space="preserve">Mauritania                              </v>
      </c>
      <c r="C118">
        <f>[1]gdp_ssp2!C117</f>
        <v>8</v>
      </c>
      <c r="D118" s="1">
        <f>[1]gdp_ssp2!H117</f>
        <v>1739.729</v>
      </c>
      <c r="E118" s="1">
        <f>[1]gdp_ssp2!M117</f>
        <v>4437.2560000000003</v>
      </c>
      <c r="F118" s="1">
        <f>[1]gdp_ssp2!R117</f>
        <v>16430.2</v>
      </c>
    </row>
    <row r="119" spans="1:6">
      <c r="A119">
        <f>[1]gdp_ssp2!A118</f>
        <v>480</v>
      </c>
      <c r="B119" t="str">
        <f>[1]gdp_ssp2!B118</f>
        <v xml:space="preserve">Mauritius                                       </v>
      </c>
      <c r="C119">
        <f>[1]gdp_ssp2!C118</f>
        <v>9</v>
      </c>
      <c r="D119" s="1">
        <f>[1]gdp_ssp2!H118</f>
        <v>10037.86</v>
      </c>
      <c r="E119" s="1">
        <f>[1]gdp_ssp2!M118</f>
        <v>18359</v>
      </c>
      <c r="F119" s="1">
        <f>[1]gdp_ssp2!R118</f>
        <v>44568.08</v>
      </c>
    </row>
    <row r="120" spans="1:6">
      <c r="A120">
        <f>[1]gdp_ssp2!A119</f>
        <v>484</v>
      </c>
      <c r="B120" t="str">
        <f>[1]gdp_ssp2!B119</f>
        <v>Mexico</v>
      </c>
      <c r="C120">
        <f>[1]gdp_ssp2!C119</f>
        <v>3</v>
      </c>
      <c r="D120" s="1">
        <f>[1]gdp_ssp2!H119</f>
        <v>12513.06</v>
      </c>
      <c r="E120" s="1">
        <f>[1]gdp_ssp2!M119</f>
        <v>24386.48</v>
      </c>
      <c r="F120" s="1">
        <f>[1]gdp_ssp2!R119</f>
        <v>64433.72</v>
      </c>
    </row>
    <row r="121" spans="1:6">
      <c r="A121">
        <f>[1]gdp_ssp2!A120</f>
        <v>496</v>
      </c>
      <c r="B121" t="str">
        <f>[1]gdp_ssp2!B120</f>
        <v xml:space="preserve">Mongolia                                </v>
      </c>
      <c r="C121">
        <f>[1]gdp_ssp2!C120</f>
        <v>20</v>
      </c>
      <c r="D121" s="1">
        <f>[1]gdp_ssp2!H120</f>
        <v>6881.7629999999999</v>
      </c>
      <c r="E121" s="1">
        <f>[1]gdp_ssp2!M120</f>
        <v>57696.75</v>
      </c>
      <c r="F121" s="1">
        <f>[1]gdp_ssp2!R120</f>
        <v>219378.2</v>
      </c>
    </row>
    <row r="122" spans="1:6">
      <c r="A122">
        <f>[1]gdp_ssp2!A121</f>
        <v>498</v>
      </c>
      <c r="B122" t="str">
        <f>[1]gdp_ssp2!B121</f>
        <v>Moldova</v>
      </c>
      <c r="C122">
        <f>[1]gdp_ssp2!C121</f>
        <v>14</v>
      </c>
      <c r="D122" s="1">
        <f>[1]gdp_ssp2!H121</f>
        <v>2638.721</v>
      </c>
      <c r="E122" s="1">
        <f>[1]gdp_ssp2!M121</f>
        <v>10479.34</v>
      </c>
      <c r="F122" s="1">
        <f>[1]gdp_ssp2!R121</f>
        <v>20937.419999999998</v>
      </c>
    </row>
    <row r="123" spans="1:6">
      <c r="A123">
        <f>[1]gdp_ssp2!A122</f>
        <v>500</v>
      </c>
      <c r="B123" t="str">
        <f>[1]gdp_ssp2!B122</f>
        <v xml:space="preserve">Montserrat                              </v>
      </c>
      <c r="C123">
        <f>[1]gdp_ssp2!C122</f>
        <v>4</v>
      </c>
      <c r="D123" s="1">
        <f>[1]gdp_ssp2!H122</f>
        <v>11520.82</v>
      </c>
      <c r="E123" s="1">
        <f>[1]gdp_ssp2!M122</f>
        <v>35030.563716696655</v>
      </c>
      <c r="F123" s="1">
        <f>[1]gdp_ssp2!R122</f>
        <v>125026.57793514014</v>
      </c>
    </row>
    <row r="124" spans="1:6">
      <c r="A124">
        <f>[1]gdp_ssp2!A123</f>
        <v>504</v>
      </c>
      <c r="B124" t="str">
        <f>[1]gdp_ssp2!B123</f>
        <v xml:space="preserve">Morocco                                          </v>
      </c>
      <c r="C124">
        <f>[1]gdp_ssp2!C123</f>
        <v>7</v>
      </c>
      <c r="D124" s="1">
        <f>[1]gdp_ssp2!H123</f>
        <v>3573.799</v>
      </c>
      <c r="E124" s="1">
        <f>[1]gdp_ssp2!M123</f>
        <v>12326.09</v>
      </c>
      <c r="F124" s="1">
        <f>[1]gdp_ssp2!R123</f>
        <v>34743.949999999997</v>
      </c>
    </row>
    <row r="125" spans="1:6">
      <c r="A125">
        <f>[1]gdp_ssp2!A124</f>
        <v>508</v>
      </c>
      <c r="B125" t="str">
        <f>[1]gdp_ssp2!B124</f>
        <v xml:space="preserve">Mozambique                                      </v>
      </c>
      <c r="C125">
        <f>[1]gdp_ssp2!C124</f>
        <v>26</v>
      </c>
      <c r="D125" s="1">
        <f>[1]gdp_ssp2!H124</f>
        <v>629.5693</v>
      </c>
      <c r="E125" s="1">
        <f>[1]gdp_ssp2!M124</f>
        <v>2683.087</v>
      </c>
      <c r="F125" s="1">
        <f>[1]gdp_ssp2!R124</f>
        <v>19400.990000000002</v>
      </c>
    </row>
    <row r="126" spans="1:6">
      <c r="A126">
        <f>[1]gdp_ssp2!A125</f>
        <v>512</v>
      </c>
      <c r="B126" t="str">
        <f>[1]gdp_ssp2!B125</f>
        <v xml:space="preserve">Oman                                           </v>
      </c>
      <c r="C126">
        <f>[1]gdp_ssp2!C125</f>
        <v>17</v>
      </c>
      <c r="D126" s="1">
        <f>[1]gdp_ssp2!H125</f>
        <v>24293.64</v>
      </c>
      <c r="E126" s="1">
        <f>[1]gdp_ssp2!M125</f>
        <v>29887.79</v>
      </c>
      <c r="F126" s="1">
        <f>[1]gdp_ssp2!R125</f>
        <v>64514.239999999998</v>
      </c>
    </row>
    <row r="127" spans="1:6">
      <c r="A127">
        <f>[1]gdp_ssp2!A126</f>
        <v>516</v>
      </c>
      <c r="B127" t="str">
        <f>[1]gdp_ssp2!B126</f>
        <v xml:space="preserve">Namibia                                         </v>
      </c>
      <c r="C127">
        <f>[1]gdp_ssp2!C126</f>
        <v>26</v>
      </c>
      <c r="D127" s="1">
        <f>[1]gdp_ssp2!H126</f>
        <v>5783.17</v>
      </c>
      <c r="E127" s="1">
        <f>[1]gdp_ssp2!M126</f>
        <v>10924.87</v>
      </c>
      <c r="F127" s="1">
        <f>[1]gdp_ssp2!R126</f>
        <v>21880.43</v>
      </c>
    </row>
    <row r="128" spans="1:6">
      <c r="A128">
        <f>[1]gdp_ssp2!A127</f>
        <v>524</v>
      </c>
      <c r="B128" t="str">
        <f>[1]gdp_ssp2!B127</f>
        <v xml:space="preserve">Nepal                                            </v>
      </c>
      <c r="C128">
        <f>[1]gdp_ssp2!C127</f>
        <v>25</v>
      </c>
      <c r="D128" s="1">
        <f>[1]gdp_ssp2!H127</f>
        <v>1114.807</v>
      </c>
      <c r="E128" s="1">
        <f>[1]gdp_ssp2!M127</f>
        <v>5451.7209999999995</v>
      </c>
      <c r="F128" s="1">
        <f>[1]gdp_ssp2!R127</f>
        <v>35473.43</v>
      </c>
    </row>
    <row r="129" spans="1:6">
      <c r="A129">
        <f>[1]gdp_ssp2!A128</f>
        <v>528</v>
      </c>
      <c r="B129" t="str">
        <f>[1]gdp_ssp2!B128</f>
        <v xml:space="preserve">Netherlands                                  </v>
      </c>
      <c r="C129">
        <f>[1]gdp_ssp2!C128</f>
        <v>11</v>
      </c>
      <c r="D129" s="1">
        <f>[1]gdp_ssp2!H128</f>
        <v>36416.82</v>
      </c>
      <c r="E129" s="1">
        <f>[1]gdp_ssp2!M128</f>
        <v>56771.83</v>
      </c>
      <c r="F129" s="1">
        <f>[1]gdp_ssp2!R128</f>
        <v>108945.7</v>
      </c>
    </row>
    <row r="130" spans="1:6">
      <c r="A130">
        <f>[1]gdp_ssp2!A129</f>
        <v>530</v>
      </c>
      <c r="B130" t="str">
        <f>[1]gdp_ssp2!B129</f>
        <v xml:space="preserve">Netherlands Antilles                    </v>
      </c>
      <c r="C130">
        <f>[1]gdp_ssp2!C129</f>
        <v>4</v>
      </c>
      <c r="D130" s="1">
        <f>[1]gdp_ssp2!H129</f>
        <v>6365.1169174139413</v>
      </c>
      <c r="E130" s="1">
        <f>[1]gdp_ssp2!M129</f>
        <v>19353.97565147854</v>
      </c>
      <c r="F130" s="1">
        <f>[1]gdp_ssp2!R129</f>
        <v>69075.718127569067</v>
      </c>
    </row>
    <row r="131" spans="1:6">
      <c r="A131">
        <f>[1]gdp_ssp2!A130</f>
        <v>533</v>
      </c>
      <c r="B131" t="str">
        <f>[1]gdp_ssp2!B130</f>
        <v xml:space="preserve">Aruba                                   </v>
      </c>
      <c r="C131">
        <f>[1]gdp_ssp2!C130</f>
        <v>4</v>
      </c>
      <c r="D131" s="1">
        <f>[1]gdp_ssp2!H130</f>
        <v>33967.8064327998</v>
      </c>
      <c r="E131" s="1">
        <f>[1]gdp_ssp2!M130</f>
        <v>148368.330510589</v>
      </c>
      <c r="F131" s="1">
        <f>[1]gdp_ssp2!R130</f>
        <v>898024.68000994402</v>
      </c>
    </row>
    <row r="132" spans="1:6">
      <c r="A132">
        <f>[1]gdp_ssp2!A131</f>
        <v>540</v>
      </c>
      <c r="B132" t="str">
        <f>[1]gdp_ssp2!B131</f>
        <v xml:space="preserve">New Caledonia                           </v>
      </c>
      <c r="C132">
        <f>[1]gdp_ssp2!C131</f>
        <v>24</v>
      </c>
      <c r="D132" s="1">
        <f>[1]gdp_ssp2!H131</f>
        <v>29681.919999999998</v>
      </c>
      <c r="E132" s="1">
        <f>[1]gdp_ssp2!M131</f>
        <v>53575.44</v>
      </c>
      <c r="F132" s="1">
        <f>[1]gdp_ssp2!R131</f>
        <v>87200.93</v>
      </c>
    </row>
    <row r="133" spans="1:6">
      <c r="A133">
        <f>[1]gdp_ssp2!A132</f>
        <v>548</v>
      </c>
      <c r="B133" t="str">
        <f>[1]gdp_ssp2!B132</f>
        <v xml:space="preserve">Vanuatu                                         </v>
      </c>
      <c r="C133">
        <f>[1]gdp_ssp2!C132</f>
        <v>24</v>
      </c>
      <c r="D133" s="1">
        <f>[1]gdp_ssp2!H132</f>
        <v>2303.0630000000001</v>
      </c>
      <c r="E133" s="1">
        <f>[1]gdp_ssp2!M132</f>
        <v>6982.9750000000004</v>
      </c>
      <c r="F133" s="1">
        <f>[1]gdp_ssp2!R132</f>
        <v>33272.85</v>
      </c>
    </row>
    <row r="134" spans="1:6">
      <c r="A134">
        <f>[1]gdp_ssp2!A133</f>
        <v>554</v>
      </c>
      <c r="B134" t="str">
        <f>[1]gdp_ssp2!B133</f>
        <v xml:space="preserve">New Zealand                             </v>
      </c>
      <c r="C134">
        <f>[1]gdp_ssp2!C133</f>
        <v>24</v>
      </c>
      <c r="D134" s="1">
        <f>[1]gdp_ssp2!H133</f>
        <v>24972.67</v>
      </c>
      <c r="E134" s="1">
        <f>[1]gdp_ssp2!M133</f>
        <v>37921.339999999997</v>
      </c>
      <c r="F134" s="1">
        <f>[1]gdp_ssp2!R133</f>
        <v>83576.02</v>
      </c>
    </row>
    <row r="135" spans="1:6">
      <c r="A135">
        <f>[1]gdp_ssp2!A134</f>
        <v>558</v>
      </c>
      <c r="B135" t="str">
        <f>[1]gdp_ssp2!B134</f>
        <v xml:space="preserve">Nicaragua                                       </v>
      </c>
      <c r="C135">
        <f>[1]gdp_ssp2!C134</f>
        <v>4</v>
      </c>
      <c r="D135" s="1">
        <f>[1]gdp_ssp2!H134</f>
        <v>3914.7049999999999</v>
      </c>
      <c r="E135" s="1">
        <f>[1]gdp_ssp2!M134</f>
        <v>19701.810000000001</v>
      </c>
      <c r="F135" s="1">
        <f>[1]gdp_ssp2!R134</f>
        <v>94447.17</v>
      </c>
    </row>
    <row r="136" spans="1:6">
      <c r="A136">
        <f>[1]gdp_ssp2!A135</f>
        <v>562</v>
      </c>
      <c r="B136" t="str">
        <f>[1]gdp_ssp2!B135</f>
        <v xml:space="preserve">Niger                                       </v>
      </c>
      <c r="C136">
        <f>[1]gdp_ssp2!C135</f>
        <v>8</v>
      </c>
      <c r="D136" s="1">
        <f>[1]gdp_ssp2!H135</f>
        <v>412.43299999999999</v>
      </c>
      <c r="E136" s="1">
        <f>[1]gdp_ssp2!M135</f>
        <v>1972.8309999999999</v>
      </c>
      <c r="F136" s="1">
        <f>[1]gdp_ssp2!R135</f>
        <v>27990.59</v>
      </c>
    </row>
    <row r="137" spans="1:6">
      <c r="A137">
        <f>[1]gdp_ssp2!A136</f>
        <v>566</v>
      </c>
      <c r="B137" t="str">
        <f>[1]gdp_ssp2!B136</f>
        <v xml:space="preserve">Nigeria                                 </v>
      </c>
      <c r="C137">
        <f>[1]gdp_ssp2!C136</f>
        <v>8</v>
      </c>
      <c r="D137" s="1">
        <f>[1]gdp_ssp2!H136</f>
        <v>2582.029</v>
      </c>
      <c r="E137" s="1">
        <f>[1]gdp_ssp2!M136</f>
        <v>8625.1980000000003</v>
      </c>
      <c r="F137" s="1">
        <f>[1]gdp_ssp2!R136</f>
        <v>52593.67</v>
      </c>
    </row>
    <row r="138" spans="1:6">
      <c r="A138">
        <f>[1]gdp_ssp2!A137</f>
        <v>578</v>
      </c>
      <c r="B138" t="str">
        <f>[1]gdp_ssp2!B137</f>
        <v xml:space="preserve">Norway                                           </v>
      </c>
      <c r="C138">
        <f>[1]gdp_ssp2!C137</f>
        <v>11</v>
      </c>
      <c r="D138" s="1">
        <f>[1]gdp_ssp2!H137</f>
        <v>50113.64</v>
      </c>
      <c r="E138" s="1">
        <f>[1]gdp_ssp2!M137</f>
        <v>74302.55</v>
      </c>
      <c r="F138" s="1">
        <f>[1]gdp_ssp2!R137</f>
        <v>164475</v>
      </c>
    </row>
    <row r="139" spans="1:6">
      <c r="A139">
        <f>[1]gdp_ssp2!A138</f>
        <v>586</v>
      </c>
      <c r="B139" t="str">
        <f>[1]gdp_ssp2!B138</f>
        <v xml:space="preserve">Pakistan                                </v>
      </c>
      <c r="C139">
        <f>[1]gdp_ssp2!C138</f>
        <v>25</v>
      </c>
      <c r="D139" s="1">
        <f>[1]gdp_ssp2!H138</f>
        <v>2284.9160000000002</v>
      </c>
      <c r="E139" s="1">
        <f>[1]gdp_ssp2!M138</f>
        <v>8487.1090000000004</v>
      </c>
      <c r="F139" s="1">
        <f>[1]gdp_ssp2!R138</f>
        <v>43107.7</v>
      </c>
    </row>
    <row r="140" spans="1:6">
      <c r="A140">
        <f>[1]gdp_ssp2!A139</f>
        <v>591</v>
      </c>
      <c r="B140" t="str">
        <f>[1]gdp_ssp2!B139</f>
        <v xml:space="preserve">Panama                                          </v>
      </c>
      <c r="C140">
        <f>[1]gdp_ssp2!C139</f>
        <v>4</v>
      </c>
      <c r="D140" s="1">
        <f>[1]gdp_ssp2!H139</f>
        <v>15417.08</v>
      </c>
      <c r="E140" s="1">
        <f>[1]gdp_ssp2!M139</f>
        <v>58182.5</v>
      </c>
      <c r="F140" s="1">
        <f>[1]gdp_ssp2!R139</f>
        <v>132699.6</v>
      </c>
    </row>
    <row r="141" spans="1:6">
      <c r="A141">
        <f>[1]gdp_ssp2!A140</f>
        <v>598</v>
      </c>
      <c r="B141" t="str">
        <f>[1]gdp_ssp2!B140</f>
        <v xml:space="preserve">Papua New Guinea                                            </v>
      </c>
      <c r="C141">
        <f>[1]gdp_ssp2!C140</f>
        <v>22</v>
      </c>
      <c r="D141" s="1">
        <f>[1]gdp_ssp2!H140</f>
        <v>1488.3710000000001</v>
      </c>
      <c r="E141" s="1">
        <f>[1]gdp_ssp2!M140</f>
        <v>7824.0590000000002</v>
      </c>
      <c r="F141" s="1">
        <f>[1]gdp_ssp2!R140</f>
        <v>50819.21</v>
      </c>
    </row>
    <row r="142" spans="1:6">
      <c r="A142">
        <f>[1]gdp_ssp2!A141</f>
        <v>600</v>
      </c>
      <c r="B142" t="str">
        <f>[1]gdp_ssp2!B141</f>
        <v xml:space="preserve">Paraguay                                        </v>
      </c>
      <c r="C142">
        <f>[1]gdp_ssp2!C141</f>
        <v>6</v>
      </c>
      <c r="D142" s="1">
        <f>[1]gdp_ssp2!H141</f>
        <v>7186.8680000000004</v>
      </c>
      <c r="E142" s="1">
        <f>[1]gdp_ssp2!M141</f>
        <v>25557.73</v>
      </c>
      <c r="F142" s="1">
        <f>[1]gdp_ssp2!R141</f>
        <v>100615.7</v>
      </c>
    </row>
    <row r="143" spans="1:6">
      <c r="A143">
        <f>[1]gdp_ssp2!A142</f>
        <v>604</v>
      </c>
      <c r="B143" t="str">
        <f>[1]gdp_ssp2!B142</f>
        <v xml:space="preserve">Peru                                            </v>
      </c>
      <c r="C143">
        <f>[1]gdp_ssp2!C142</f>
        <v>6</v>
      </c>
      <c r="D143" s="1">
        <f>[1]gdp_ssp2!H142</f>
        <v>7433.6959999999999</v>
      </c>
      <c r="E143" s="1">
        <f>[1]gdp_ssp2!M142</f>
        <v>17973.41</v>
      </c>
      <c r="F143" s="1">
        <f>[1]gdp_ssp2!R142</f>
        <v>40575.379999999997</v>
      </c>
    </row>
    <row r="144" spans="1:6">
      <c r="A144">
        <f>[1]gdp_ssp2!A143</f>
        <v>608</v>
      </c>
      <c r="B144" t="str">
        <f>[1]gdp_ssp2!B143</f>
        <v xml:space="preserve">Philippines                                 </v>
      </c>
      <c r="C144">
        <f>[1]gdp_ssp2!C143</f>
        <v>21</v>
      </c>
      <c r="D144" s="1">
        <f>[1]gdp_ssp2!H143</f>
        <v>3374.0529999999999</v>
      </c>
      <c r="E144" s="1">
        <f>[1]gdp_ssp2!M143</f>
        <v>14529.59</v>
      </c>
      <c r="F144" s="1">
        <f>[1]gdp_ssp2!R143</f>
        <v>65513.3</v>
      </c>
    </row>
    <row r="145" spans="1:6">
      <c r="A145">
        <f>[1]gdp_ssp2!A144</f>
        <v>616</v>
      </c>
      <c r="B145" t="str">
        <f>[1]gdp_ssp2!B144</f>
        <v xml:space="preserve">Poland                                          </v>
      </c>
      <c r="C145">
        <f>[1]gdp_ssp2!C144</f>
        <v>12</v>
      </c>
      <c r="D145" s="1">
        <f>[1]gdp_ssp2!H144</f>
        <v>16674.099999999999</v>
      </c>
      <c r="E145" s="1">
        <f>[1]gdp_ssp2!M144</f>
        <v>39487.769999999997</v>
      </c>
      <c r="F145" s="1">
        <f>[1]gdp_ssp2!R144</f>
        <v>75156.97</v>
      </c>
    </row>
    <row r="146" spans="1:6">
      <c r="A146">
        <f>[1]gdp_ssp2!A145</f>
        <v>620</v>
      </c>
      <c r="B146" t="str">
        <f>[1]gdp_ssp2!B145</f>
        <v>Portugal</v>
      </c>
      <c r="C146">
        <f>[1]gdp_ssp2!C145</f>
        <v>11</v>
      </c>
      <c r="D146" s="1">
        <f>[1]gdp_ssp2!H145</f>
        <v>21830.19</v>
      </c>
      <c r="E146" s="1">
        <f>[1]gdp_ssp2!M145</f>
        <v>33954.17</v>
      </c>
      <c r="F146" s="1">
        <f>[1]gdp_ssp2!R145</f>
        <v>71028.7</v>
      </c>
    </row>
    <row r="147" spans="1:6">
      <c r="A147">
        <f>[1]gdp_ssp2!A146</f>
        <v>624</v>
      </c>
      <c r="B147" t="str">
        <f>[1]gdp_ssp2!B146</f>
        <v xml:space="preserve">Guinea-Bissau                                   </v>
      </c>
      <c r="C147">
        <f>[1]gdp_ssp2!C146</f>
        <v>8</v>
      </c>
      <c r="D147" s="1">
        <f>[1]gdp_ssp2!H146</f>
        <v>726.54920000000004</v>
      </c>
      <c r="E147" s="1">
        <f>[1]gdp_ssp2!M146</f>
        <v>2750.2260000000001</v>
      </c>
      <c r="F147" s="1">
        <f>[1]gdp_ssp2!R146</f>
        <v>16433.27</v>
      </c>
    </row>
    <row r="148" spans="1:6">
      <c r="A148">
        <f>[1]gdp_ssp2!A147</f>
        <v>626</v>
      </c>
      <c r="B148" t="str">
        <f>[1]gdp_ssp2!B147</f>
        <v>East Timor</v>
      </c>
      <c r="C148">
        <f>[1]gdp_ssp2!C147</f>
        <v>22</v>
      </c>
      <c r="D148" s="1">
        <f>[1]gdp_ssp2!H147</f>
        <v>5433.99</v>
      </c>
      <c r="E148" s="1">
        <f>[1]gdp_ssp2!M147</f>
        <v>24610.69</v>
      </c>
      <c r="F148" s="1">
        <f>[1]gdp_ssp2!R147</f>
        <v>180996.8</v>
      </c>
    </row>
    <row r="149" spans="1:6">
      <c r="A149">
        <f>[1]gdp_ssp2!A148</f>
        <v>630</v>
      </c>
      <c r="B149" t="str">
        <f>[1]gdp_ssp2!B148</f>
        <v xml:space="preserve">Puerto Rico                                                 </v>
      </c>
      <c r="C149">
        <f>[1]gdp_ssp2!C148</f>
        <v>4</v>
      </c>
      <c r="D149" s="1">
        <f>[1]gdp_ssp2!H148</f>
        <v>34784.35</v>
      </c>
      <c r="E149" s="1">
        <f>[1]gdp_ssp2!M148</f>
        <v>46241.99</v>
      </c>
      <c r="F149" s="1">
        <f>[1]gdp_ssp2!R148</f>
        <v>61421.11</v>
      </c>
    </row>
    <row r="150" spans="1:6">
      <c r="A150">
        <f>[1]gdp_ssp2!A149</f>
        <v>634</v>
      </c>
      <c r="B150" t="str">
        <f>[1]gdp_ssp2!B149</f>
        <v xml:space="preserve">Qatar                                              </v>
      </c>
      <c r="C150">
        <f>[1]gdp_ssp2!C149</f>
        <v>17</v>
      </c>
      <c r="D150" s="1">
        <f>[1]gdp_ssp2!H149</f>
        <v>64288.36</v>
      </c>
      <c r="E150" s="1">
        <f>[1]gdp_ssp2!M149</f>
        <v>65277.57</v>
      </c>
      <c r="F150" s="1">
        <f>[1]gdp_ssp2!R149</f>
        <v>79662.570000000007</v>
      </c>
    </row>
    <row r="151" spans="1:6">
      <c r="A151">
        <f>[1]gdp_ssp2!A150</f>
        <v>638</v>
      </c>
      <c r="B151" t="str">
        <f>[1]gdp_ssp2!B150</f>
        <v xml:space="preserve">Reunion                                 </v>
      </c>
      <c r="C151">
        <f>[1]gdp_ssp2!C150</f>
        <v>9</v>
      </c>
      <c r="D151" s="1">
        <f>[1]gdp_ssp2!H150</f>
        <v>1236.270494764359</v>
      </c>
      <c r="E151" s="1">
        <f>[1]gdp_ssp2!M150</f>
        <v>5487.7242677563136</v>
      </c>
      <c r="F151" s="1">
        <f>[1]gdp_ssp2!R150</f>
        <v>36614.688492956018</v>
      </c>
    </row>
    <row r="152" spans="1:6">
      <c r="A152">
        <f>[1]gdp_ssp2!A151</f>
        <v>642</v>
      </c>
      <c r="B152" t="str">
        <f>[1]gdp_ssp2!B151</f>
        <v xml:space="preserve">Romania                                 </v>
      </c>
      <c r="C152">
        <f>[1]gdp_ssp2!C151</f>
        <v>12</v>
      </c>
      <c r="D152" s="1">
        <f>[1]gdp_ssp2!H151</f>
        <v>13332.35</v>
      </c>
      <c r="E152" s="1">
        <f>[1]gdp_ssp2!M151</f>
        <v>36599.94</v>
      </c>
      <c r="F152" s="1">
        <f>[1]gdp_ssp2!R151</f>
        <v>72339.75</v>
      </c>
    </row>
    <row r="153" spans="1:6">
      <c r="A153">
        <f>[1]gdp_ssp2!A152</f>
        <v>643</v>
      </c>
      <c r="B153" t="str">
        <f>[1]gdp_ssp2!B152</f>
        <v xml:space="preserve">Russian Federation                      </v>
      </c>
      <c r="C153">
        <f>[1]gdp_ssp2!C152</f>
        <v>16</v>
      </c>
      <c r="D153" s="1">
        <f>[1]gdp_ssp2!H152</f>
        <v>14134.47</v>
      </c>
      <c r="E153" s="1">
        <f>[1]gdp_ssp2!M152</f>
        <v>30427.51</v>
      </c>
      <c r="F153" s="1">
        <f>[1]gdp_ssp2!R152</f>
        <v>56539.9</v>
      </c>
    </row>
    <row r="154" spans="1:6">
      <c r="A154">
        <f>[1]gdp_ssp2!A153</f>
        <v>646</v>
      </c>
      <c r="B154" t="str">
        <f>[1]gdp_ssp2!B153</f>
        <v>Rwanda</v>
      </c>
      <c r="C154">
        <f>[1]gdp_ssp2!C153</f>
        <v>9</v>
      </c>
      <c r="D154" s="1">
        <f>[1]gdp_ssp2!H153</f>
        <v>877.72050000000002</v>
      </c>
      <c r="E154" s="1">
        <f>[1]gdp_ssp2!M153</f>
        <v>4925.4549999999999</v>
      </c>
      <c r="F154" s="1">
        <f>[1]gdp_ssp2!R153</f>
        <v>43851.01</v>
      </c>
    </row>
    <row r="155" spans="1:6">
      <c r="A155">
        <f>[1]gdp_ssp2!A154</f>
        <v>659</v>
      </c>
      <c r="B155" t="str">
        <f>[1]gdp_ssp2!B154</f>
        <v xml:space="preserve">Saint Kitts and Nevis </v>
      </c>
      <c r="C155">
        <f>[1]gdp_ssp2!C154</f>
        <v>4</v>
      </c>
      <c r="D155" s="1">
        <f>[1]gdp_ssp2!H154</f>
        <v>24241.51</v>
      </c>
      <c r="E155" s="1">
        <f>[1]gdp_ssp2!M154</f>
        <v>73709.511164694457</v>
      </c>
      <c r="F155" s="1">
        <f>[1]gdp_ssp2!R154</f>
        <v>263074.49736531905</v>
      </c>
    </row>
    <row r="156" spans="1:6">
      <c r="A156">
        <f>[1]gdp_ssp2!A155</f>
        <v>660</v>
      </c>
      <c r="B156" t="str">
        <f>[1]gdp_ssp2!B155</f>
        <v xml:space="preserve">Anguilla                                </v>
      </c>
      <c r="C156">
        <f>[1]gdp_ssp2!C155</f>
        <v>4</v>
      </c>
      <c r="D156" s="1">
        <f>[1]gdp_ssp2!H155</f>
        <v>20258.563732397</v>
      </c>
      <c r="E156" s="1">
        <f>[1]gdp_ssp2!M155</f>
        <v>61598.829102111129</v>
      </c>
      <c r="F156" s="1">
        <f>[1]gdp_ssp2!R155</f>
        <v>219850.61016239674</v>
      </c>
    </row>
    <row r="157" spans="1:6">
      <c r="A157">
        <f>[1]gdp_ssp2!A156</f>
        <v>662</v>
      </c>
      <c r="B157" t="str">
        <f>[1]gdp_ssp2!B156</f>
        <v xml:space="preserve">Saint Lucia                             </v>
      </c>
      <c r="C157">
        <f>[1]gdp_ssp2!C156</f>
        <v>4</v>
      </c>
      <c r="D157" s="1">
        <f>[1]gdp_ssp2!H156</f>
        <v>11526.27</v>
      </c>
      <c r="E157" s="1">
        <f>[1]gdp_ssp2!M156</f>
        <v>26598.05</v>
      </c>
      <c r="F157" s="1">
        <f>[1]gdp_ssp2!R156</f>
        <v>83008.73</v>
      </c>
    </row>
    <row r="158" spans="1:6">
      <c r="A158">
        <f>[1]gdp_ssp2!A157</f>
        <v>666</v>
      </c>
      <c r="B158" t="str">
        <f>[1]gdp_ssp2!B157</f>
        <v xml:space="preserve">Saint Pierre and Miquelon    </v>
      </c>
      <c r="C158">
        <f>[1]gdp_ssp2!C157</f>
        <v>2</v>
      </c>
      <c r="D158" s="1">
        <f>[1]gdp_ssp2!H157</f>
        <v>42164.29388287825</v>
      </c>
      <c r="E158" s="1">
        <f>[1]gdp_ssp2!M157</f>
        <v>66926.432827459634</v>
      </c>
      <c r="F158" s="1">
        <f>[1]gdp_ssp2!R157</f>
        <v>88980.064955827256</v>
      </c>
    </row>
    <row r="159" spans="1:6">
      <c r="A159">
        <f>[1]gdp_ssp2!A158</f>
        <v>670</v>
      </c>
      <c r="B159" t="str">
        <f>[1]gdp_ssp2!B158</f>
        <v>Saint Vincent &amp; the Grenadines</v>
      </c>
      <c r="C159">
        <f>[1]gdp_ssp2!C158</f>
        <v>4</v>
      </c>
      <c r="D159" s="1">
        <f>[1]gdp_ssp2!H158</f>
        <v>9875.2620000000006</v>
      </c>
      <c r="E159" s="1">
        <f>[1]gdp_ssp2!M158</f>
        <v>17000.86</v>
      </c>
      <c r="F159" s="1">
        <f>[1]gdp_ssp2!R158</f>
        <v>43615.21</v>
      </c>
    </row>
    <row r="160" spans="1:6">
      <c r="A160">
        <f>[1]gdp_ssp2!A159</f>
        <v>678</v>
      </c>
      <c r="B160" t="str">
        <f>[1]gdp_ssp2!B159</f>
        <v xml:space="preserve">Sao Tome and Principe                </v>
      </c>
      <c r="C160">
        <f>[1]gdp_ssp2!C159</f>
        <v>8</v>
      </c>
      <c r="D160" s="1">
        <f>[1]gdp_ssp2!H159</f>
        <v>1299.5719999999999</v>
      </c>
      <c r="E160" s="1">
        <f>[1]gdp_ssp2!M159</f>
        <v>4187.6610000000001</v>
      </c>
      <c r="F160" s="1">
        <f>[1]gdp_ssp2!R159</f>
        <v>9189.482</v>
      </c>
    </row>
    <row r="161" spans="1:6">
      <c r="A161">
        <f>[1]gdp_ssp2!A160</f>
        <v>682</v>
      </c>
      <c r="B161" t="str">
        <f>[1]gdp_ssp2!B160</f>
        <v xml:space="preserve">Saudi Arabia                                     </v>
      </c>
      <c r="C161">
        <f>[1]gdp_ssp2!C160</f>
        <v>17</v>
      </c>
      <c r="D161" s="1">
        <f>[1]gdp_ssp2!H160</f>
        <v>24342.93</v>
      </c>
      <c r="E161" s="1">
        <f>[1]gdp_ssp2!M160</f>
        <v>39535.730000000003</v>
      </c>
      <c r="F161" s="1">
        <f>[1]gdp_ssp2!R160</f>
        <v>75211.02</v>
      </c>
    </row>
    <row r="162" spans="1:6">
      <c r="A162">
        <f>[1]gdp_ssp2!A161</f>
        <v>686</v>
      </c>
      <c r="B162" t="str">
        <f>[1]gdp_ssp2!B161</f>
        <v xml:space="preserve">Senegal                                         </v>
      </c>
      <c r="C162">
        <f>[1]gdp_ssp2!C161</f>
        <v>8</v>
      </c>
      <c r="D162" s="1">
        <f>[1]gdp_ssp2!H161</f>
        <v>1409.3140000000001</v>
      </c>
      <c r="E162" s="1">
        <f>[1]gdp_ssp2!M161</f>
        <v>4521.567</v>
      </c>
      <c r="F162" s="1">
        <f>[1]gdp_ssp2!R161</f>
        <v>25433.48</v>
      </c>
    </row>
    <row r="163" spans="1:6">
      <c r="A163">
        <f>[1]gdp_ssp2!A162</f>
        <v>694</v>
      </c>
      <c r="B163" t="str">
        <f>[1]gdp_ssp2!B162</f>
        <v xml:space="preserve">Sierra Leone                                    </v>
      </c>
      <c r="C163">
        <f>[1]gdp_ssp2!C162</f>
        <v>8</v>
      </c>
      <c r="D163" s="1">
        <f>[1]gdp_ssp2!H162</f>
        <v>613.36530000000005</v>
      </c>
      <c r="E163" s="1">
        <f>[1]gdp_ssp2!M162</f>
        <v>2285.5610000000001</v>
      </c>
      <c r="F163" s="1">
        <f>[1]gdp_ssp2!R162</f>
        <v>14016.2</v>
      </c>
    </row>
    <row r="164" spans="1:6">
      <c r="A164">
        <f>[1]gdp_ssp2!A163</f>
        <v>702</v>
      </c>
      <c r="B164" t="str">
        <f>[1]gdp_ssp2!B163</f>
        <v xml:space="preserve">Singapore                                       </v>
      </c>
      <c r="C164">
        <f>[1]gdp_ssp2!C163</f>
        <v>21</v>
      </c>
      <c r="D164" s="1">
        <f>[1]gdp_ssp2!H163</f>
        <v>43124.01</v>
      </c>
      <c r="E164" s="1">
        <f>[1]gdp_ssp2!M163</f>
        <v>69051.63</v>
      </c>
      <c r="F164" s="1">
        <f>[1]gdp_ssp2!R163</f>
        <v>79054.75</v>
      </c>
    </row>
    <row r="165" spans="1:6">
      <c r="A165">
        <f>[1]gdp_ssp2!A164</f>
        <v>703</v>
      </c>
      <c r="B165" t="str">
        <f>[1]gdp_ssp2!B164</f>
        <v>Slovakia</v>
      </c>
      <c r="C165">
        <f>[1]gdp_ssp2!C164</f>
        <v>12</v>
      </c>
      <c r="D165" s="1">
        <f>[1]gdp_ssp2!H164</f>
        <v>19368.45</v>
      </c>
      <c r="E165" s="1">
        <f>[1]gdp_ssp2!M164</f>
        <v>49060.18</v>
      </c>
      <c r="F165" s="1">
        <f>[1]gdp_ssp2!R164</f>
        <v>105512.8</v>
      </c>
    </row>
    <row r="166" spans="1:6">
      <c r="A166">
        <f>[1]gdp_ssp2!A165</f>
        <v>704</v>
      </c>
      <c r="B166" t="str">
        <f>[1]gdp_ssp2!B165</f>
        <v xml:space="preserve">Viet Nam                              </v>
      </c>
      <c r="C166">
        <f>[1]gdp_ssp2!C165</f>
        <v>21</v>
      </c>
      <c r="D166" s="1">
        <f>[1]gdp_ssp2!H165</f>
        <v>2679.5639999999999</v>
      </c>
      <c r="E166" s="1">
        <f>[1]gdp_ssp2!M165</f>
        <v>12191.06</v>
      </c>
      <c r="F166" s="1">
        <f>[1]gdp_ssp2!R165</f>
        <v>33715.42</v>
      </c>
    </row>
    <row r="167" spans="1:6">
      <c r="A167">
        <f>[1]gdp_ssp2!A166</f>
        <v>705</v>
      </c>
      <c r="B167" t="str">
        <f>[1]gdp_ssp2!B166</f>
        <v xml:space="preserve">Slovenia                                        </v>
      </c>
      <c r="C167">
        <f>[1]gdp_ssp2!C166</f>
        <v>12</v>
      </c>
      <c r="D167" s="1">
        <f>[1]gdp_ssp2!H166</f>
        <v>22187.25</v>
      </c>
      <c r="E167" s="1">
        <f>[1]gdp_ssp2!M166</f>
        <v>46357.919999999998</v>
      </c>
      <c r="F167" s="1">
        <f>[1]gdp_ssp2!R166</f>
        <v>113083.7</v>
      </c>
    </row>
    <row r="168" spans="1:6">
      <c r="A168">
        <f>[1]gdp_ssp2!A167</f>
        <v>706</v>
      </c>
      <c r="B168" t="str">
        <f>[1]gdp_ssp2!B167</f>
        <v>Somalia</v>
      </c>
      <c r="C168">
        <f>[1]gdp_ssp2!C167</f>
        <v>9</v>
      </c>
      <c r="D168" s="1">
        <f>[1]gdp_ssp2!H167</f>
        <v>58.742130000000003</v>
      </c>
      <c r="E168" s="1">
        <f>[1]gdp_ssp2!M167</f>
        <v>357.1037</v>
      </c>
      <c r="F168" s="1">
        <f>[1]gdp_ssp2!R167</f>
        <v>7217.9219999999996</v>
      </c>
    </row>
    <row r="169" spans="1:6">
      <c r="A169">
        <f>[1]gdp_ssp2!A168</f>
        <v>710</v>
      </c>
      <c r="B169" t="str">
        <f>[1]gdp_ssp2!B168</f>
        <v xml:space="preserve">South Africa                                    </v>
      </c>
      <c r="C169">
        <f>[1]gdp_ssp2!C168</f>
        <v>10</v>
      </c>
      <c r="D169" s="1">
        <f>[1]gdp_ssp2!H168</f>
        <v>9201.9719999999998</v>
      </c>
      <c r="E169" s="1">
        <f>[1]gdp_ssp2!M168</f>
        <v>18557.060000000001</v>
      </c>
      <c r="F169" s="1">
        <f>[1]gdp_ssp2!R168</f>
        <v>42759.199999999997</v>
      </c>
    </row>
    <row r="170" spans="1:6">
      <c r="A170">
        <f>[1]gdp_ssp2!A169</f>
        <v>716</v>
      </c>
      <c r="B170" t="str">
        <f>[1]gdp_ssp2!B169</f>
        <v xml:space="preserve">Zimbabwe                                        </v>
      </c>
      <c r="C170">
        <f>[1]gdp_ssp2!C169</f>
        <v>26</v>
      </c>
      <c r="D170" s="1">
        <f>[1]gdp_ssp2!H169</f>
        <v>1284.9159999999999</v>
      </c>
      <c r="E170" s="1">
        <f>[1]gdp_ssp2!M169</f>
        <v>5214.5879999999997</v>
      </c>
      <c r="F170" s="1">
        <f>[1]gdp_ssp2!R169</f>
        <v>34893.050000000003</v>
      </c>
    </row>
    <row r="171" spans="1:6">
      <c r="A171">
        <f>[1]gdp_ssp2!A170</f>
        <v>724</v>
      </c>
      <c r="B171" t="str">
        <f>[1]gdp_ssp2!B170</f>
        <v xml:space="preserve">Spain                                            </v>
      </c>
      <c r="C171">
        <f>[1]gdp_ssp2!C170</f>
        <v>11</v>
      </c>
      <c r="D171" s="1">
        <f>[1]gdp_ssp2!H170</f>
        <v>25912.28</v>
      </c>
      <c r="E171" s="1">
        <f>[1]gdp_ssp2!M170</f>
        <v>35721.18</v>
      </c>
      <c r="F171" s="1">
        <f>[1]gdp_ssp2!R170</f>
        <v>69522.990000000005</v>
      </c>
    </row>
    <row r="172" spans="1:6">
      <c r="A172">
        <f>[1]gdp_ssp2!A171</f>
        <v>732</v>
      </c>
      <c r="B172" t="str">
        <f>[1]gdp_ssp2!B171</f>
        <v xml:space="preserve">Western Sahara                          </v>
      </c>
      <c r="C172">
        <f>[1]gdp_ssp2!C171</f>
        <v>7</v>
      </c>
      <c r="D172" s="1">
        <f>[1]gdp_ssp2!H171</f>
        <v>6317.7444196440956</v>
      </c>
      <c r="E172" s="1">
        <f>[1]gdp_ssp2!M171</f>
        <v>19778.682851002886</v>
      </c>
      <c r="F172" s="1">
        <f>[1]gdp_ssp2!R171</f>
        <v>58242.792145836444</v>
      </c>
    </row>
    <row r="173" spans="1:6">
      <c r="A173">
        <f>[1]gdp_ssp2!A172</f>
        <v>736</v>
      </c>
      <c r="B173" t="str">
        <f>[1]gdp_ssp2!B172</f>
        <v xml:space="preserve">Sudan                                       </v>
      </c>
      <c r="C173">
        <f>[1]gdp_ssp2!C172</f>
        <v>9</v>
      </c>
      <c r="D173" s="1">
        <f>[1]gdp_ssp2!H172</f>
        <v>2722.6280000000002</v>
      </c>
      <c r="E173" s="1">
        <f>[1]gdp_ssp2!M172</f>
        <v>9729.9030000000002</v>
      </c>
      <c r="F173" s="1">
        <f>[1]gdp_ssp2!R172</f>
        <v>84218.07</v>
      </c>
    </row>
    <row r="174" spans="1:6">
      <c r="A174">
        <f>[1]gdp_ssp2!A173</f>
        <v>740</v>
      </c>
      <c r="B174" t="str">
        <f>[1]gdp_ssp2!B173</f>
        <v xml:space="preserve">Suriname                                        </v>
      </c>
      <c r="C174">
        <f>[1]gdp_ssp2!C173</f>
        <v>6</v>
      </c>
      <c r="D174" s="1">
        <f>[1]gdp_ssp2!H173</f>
        <v>10425.59</v>
      </c>
      <c r="E174" s="1">
        <f>[1]gdp_ssp2!M173</f>
        <v>21896.22</v>
      </c>
      <c r="F174" s="1">
        <f>[1]gdp_ssp2!R173</f>
        <v>60307.08</v>
      </c>
    </row>
    <row r="175" spans="1:6">
      <c r="A175">
        <f>[1]gdp_ssp2!A174</f>
        <v>748</v>
      </c>
      <c r="B175" t="str">
        <f>[1]gdp_ssp2!B174</f>
        <v xml:space="preserve">Swaziland                                        </v>
      </c>
      <c r="C175">
        <f>[1]gdp_ssp2!C174</f>
        <v>26</v>
      </c>
      <c r="D175" s="1">
        <f>[1]gdp_ssp2!H174</f>
        <v>5492.924</v>
      </c>
      <c r="E175" s="1">
        <f>[1]gdp_ssp2!M174</f>
        <v>9796.759</v>
      </c>
      <c r="F175" s="1">
        <f>[1]gdp_ssp2!R174</f>
        <v>31365.42</v>
      </c>
    </row>
    <row r="176" spans="1:6">
      <c r="A176">
        <f>[1]gdp_ssp2!A175</f>
        <v>752</v>
      </c>
      <c r="B176" t="str">
        <f>[1]gdp_ssp2!B175</f>
        <v xml:space="preserve">Sweden                                           </v>
      </c>
      <c r="C176">
        <f>[1]gdp_ssp2!C175</f>
        <v>11</v>
      </c>
      <c r="D176" s="1">
        <f>[1]gdp_ssp2!H175</f>
        <v>34446.730000000003</v>
      </c>
      <c r="E176" s="1">
        <f>[1]gdp_ssp2!M175</f>
        <v>63413.17</v>
      </c>
      <c r="F176" s="1">
        <f>[1]gdp_ssp2!R175</f>
        <v>137070.79999999999</v>
      </c>
    </row>
    <row r="177" spans="1:6">
      <c r="A177">
        <f>[1]gdp_ssp2!A176</f>
        <v>756</v>
      </c>
      <c r="B177" t="str">
        <f>[1]gdp_ssp2!B176</f>
        <v>Switzerland</v>
      </c>
      <c r="C177">
        <f>[1]gdp_ssp2!C176</f>
        <v>11</v>
      </c>
      <c r="D177" s="1">
        <f>[1]gdp_ssp2!H176</f>
        <v>44964.4</v>
      </c>
      <c r="E177" s="1">
        <f>[1]gdp_ssp2!M176</f>
        <v>69477.19</v>
      </c>
      <c r="F177" s="1">
        <f>[1]gdp_ssp2!R176</f>
        <v>137902.20000000001</v>
      </c>
    </row>
    <row r="178" spans="1:6">
      <c r="A178">
        <f>[1]gdp_ssp2!A177</f>
        <v>760</v>
      </c>
      <c r="B178" t="str">
        <f>[1]gdp_ssp2!B177</f>
        <v>Syria</v>
      </c>
      <c r="C178">
        <f>[1]gdp_ssp2!C177</f>
        <v>17</v>
      </c>
      <c r="D178" s="1">
        <f>[1]gdp_ssp2!H177</f>
        <v>1562.1990000000001</v>
      </c>
      <c r="E178" s="1">
        <f>[1]gdp_ssp2!M177</f>
        <v>2522.6010000000001</v>
      </c>
      <c r="F178" s="1">
        <f>[1]gdp_ssp2!R177</f>
        <v>8249.2469999999994</v>
      </c>
    </row>
    <row r="179" spans="1:6">
      <c r="A179">
        <f>[1]gdp_ssp2!A178</f>
        <v>762</v>
      </c>
      <c r="B179" t="str">
        <f>[1]gdp_ssp2!B178</f>
        <v xml:space="preserve">Tajikistan                                      </v>
      </c>
      <c r="C179">
        <f>[1]gdp_ssp2!C178</f>
        <v>15</v>
      </c>
      <c r="D179" s="1">
        <f>[1]gdp_ssp2!H178</f>
        <v>1286.443</v>
      </c>
      <c r="E179" s="1">
        <f>[1]gdp_ssp2!M178</f>
        <v>6742.433</v>
      </c>
      <c r="F179" s="1">
        <f>[1]gdp_ssp2!R178</f>
        <v>25357.56</v>
      </c>
    </row>
    <row r="180" spans="1:6">
      <c r="A180">
        <f>[1]gdp_ssp2!A179</f>
        <v>764</v>
      </c>
      <c r="B180" t="str">
        <f>[1]gdp_ssp2!B179</f>
        <v xml:space="preserve">Thailand                                         </v>
      </c>
      <c r="C180">
        <f>[1]gdp_ssp2!C179</f>
        <v>21</v>
      </c>
      <c r="D180" s="1">
        <f>[1]gdp_ssp2!H179</f>
        <v>8152.8779999999997</v>
      </c>
      <c r="E180" s="1">
        <f>[1]gdp_ssp2!M179</f>
        <v>25807.16</v>
      </c>
      <c r="F180" s="1">
        <f>[1]gdp_ssp2!R179</f>
        <v>57175.96</v>
      </c>
    </row>
    <row r="181" spans="1:6">
      <c r="A181">
        <f>[1]gdp_ssp2!A180</f>
        <v>768</v>
      </c>
      <c r="B181" t="str">
        <f>[1]gdp_ssp2!B180</f>
        <v>Togo</v>
      </c>
      <c r="C181">
        <f>[1]gdp_ssp2!C180</f>
        <v>8</v>
      </c>
      <c r="D181" s="1">
        <f>[1]gdp_ssp2!H180</f>
        <v>630.56389999999999</v>
      </c>
      <c r="E181" s="1">
        <f>[1]gdp_ssp2!M180</f>
        <v>2056.9850000000001</v>
      </c>
      <c r="F181" s="1">
        <f>[1]gdp_ssp2!R180</f>
        <v>14456.6</v>
      </c>
    </row>
    <row r="182" spans="1:6">
      <c r="A182">
        <f>[1]gdp_ssp2!A181</f>
        <v>776</v>
      </c>
      <c r="B182" t="str">
        <f>[1]gdp_ssp2!B181</f>
        <v xml:space="preserve">Tonga                                            </v>
      </c>
      <c r="C182">
        <f>[1]gdp_ssp2!C181</f>
        <v>24</v>
      </c>
      <c r="D182" s="1">
        <f>[1]gdp_ssp2!H181</f>
        <v>3898.2910000000002</v>
      </c>
      <c r="E182" s="1">
        <f>[1]gdp_ssp2!M181</f>
        <v>7369.89</v>
      </c>
      <c r="F182" s="1">
        <f>[1]gdp_ssp2!R181</f>
        <v>21266.720000000001</v>
      </c>
    </row>
    <row r="183" spans="1:6">
      <c r="A183">
        <f>[1]gdp_ssp2!A182</f>
        <v>780</v>
      </c>
      <c r="B183" t="str">
        <f>[1]gdp_ssp2!B182</f>
        <v xml:space="preserve">Trinidad and Tobago                             </v>
      </c>
      <c r="C183">
        <f>[1]gdp_ssp2!C182</f>
        <v>4</v>
      </c>
      <c r="D183" s="1">
        <f>[1]gdp_ssp2!H182</f>
        <v>30832.31</v>
      </c>
      <c r="E183" s="1">
        <f>[1]gdp_ssp2!M182</f>
        <v>38309.050000000003</v>
      </c>
      <c r="F183" s="1">
        <f>[1]gdp_ssp2!R182</f>
        <v>50430.66</v>
      </c>
    </row>
    <row r="184" spans="1:6">
      <c r="A184">
        <f>[1]gdp_ssp2!A183</f>
        <v>784</v>
      </c>
      <c r="B184" t="str">
        <f>[1]gdp_ssp2!B183</f>
        <v xml:space="preserve">United Arab Emirates                    </v>
      </c>
      <c r="C184">
        <f>[1]gdp_ssp2!C183</f>
        <v>17</v>
      </c>
      <c r="D184" s="1">
        <f>[1]gdp_ssp2!H183</f>
        <v>29666.5</v>
      </c>
      <c r="E184" s="1">
        <f>[1]gdp_ssp2!M183</f>
        <v>50048.79</v>
      </c>
      <c r="F184" s="1">
        <f>[1]gdp_ssp2!R183</f>
        <v>69702.13</v>
      </c>
    </row>
    <row r="185" spans="1:6">
      <c r="A185">
        <f>[1]gdp_ssp2!A184</f>
        <v>788</v>
      </c>
      <c r="B185" t="str">
        <f>[1]gdp_ssp2!B184</f>
        <v xml:space="preserve">Tunisia                                         </v>
      </c>
      <c r="C185">
        <f>[1]gdp_ssp2!C184</f>
        <v>7</v>
      </c>
      <c r="D185" s="1">
        <f>[1]gdp_ssp2!H184</f>
        <v>5694.9279999999999</v>
      </c>
      <c r="E185" s="1">
        <f>[1]gdp_ssp2!M184</f>
        <v>15193.74</v>
      </c>
      <c r="F185" s="1">
        <f>[1]gdp_ssp2!R184</f>
        <v>28130.46</v>
      </c>
    </row>
    <row r="186" spans="1:6">
      <c r="A186">
        <f>[1]gdp_ssp2!A185</f>
        <v>792</v>
      </c>
      <c r="B186" t="str">
        <f>[1]gdp_ssp2!B185</f>
        <v xml:space="preserve">Turkey                                          </v>
      </c>
      <c r="C186">
        <f>[1]gdp_ssp2!C185</f>
        <v>13</v>
      </c>
      <c r="D186" s="1">
        <f>[1]gdp_ssp2!H185</f>
        <v>11487.01</v>
      </c>
      <c r="E186" s="1">
        <f>[1]gdp_ssp2!M185</f>
        <v>30084.97</v>
      </c>
      <c r="F186" s="1">
        <f>[1]gdp_ssp2!R185</f>
        <v>67822.460000000006</v>
      </c>
    </row>
    <row r="187" spans="1:6">
      <c r="A187">
        <f>[1]gdp_ssp2!A186</f>
        <v>795</v>
      </c>
      <c r="B187" t="str">
        <f>[1]gdp_ssp2!B186</f>
        <v xml:space="preserve">Turkmenistan                            </v>
      </c>
      <c r="C187">
        <f>[1]gdp_ssp2!C186</f>
        <v>15</v>
      </c>
      <c r="D187" s="1">
        <f>[1]gdp_ssp2!H186</f>
        <v>5981.58</v>
      </c>
      <c r="E187" s="1">
        <f>[1]gdp_ssp2!M186</f>
        <v>32807.300000000003</v>
      </c>
      <c r="F187" s="1">
        <f>[1]gdp_ssp2!R186</f>
        <v>47231.31</v>
      </c>
    </row>
    <row r="188" spans="1:6">
      <c r="A188">
        <f>[1]gdp_ssp2!A187</f>
        <v>796</v>
      </c>
      <c r="B188" t="str">
        <f>[1]gdp_ssp2!B187</f>
        <v xml:space="preserve">Turks and Caicos Islands                                    </v>
      </c>
      <c r="C188">
        <f>[1]gdp_ssp2!C187</f>
        <v>4</v>
      </c>
      <c r="D188" s="1">
        <f>[1]gdp_ssp2!H187</f>
        <v>21364.32</v>
      </c>
      <c r="E188" s="1">
        <f>[1]gdp_ssp2!M187</f>
        <v>64961.02934617451</v>
      </c>
      <c r="F188" s="1">
        <f>[1]gdp_ssp2!R187</f>
        <v>231850.54240007236</v>
      </c>
    </row>
    <row r="189" spans="1:6">
      <c r="A189">
        <f>[1]gdp_ssp2!A188</f>
        <v>800</v>
      </c>
      <c r="B189" t="str">
        <f>[1]gdp_ssp2!B188</f>
        <v xml:space="preserve">Uganda                                          </v>
      </c>
      <c r="C189">
        <f>[1]gdp_ssp2!C188</f>
        <v>9</v>
      </c>
      <c r="D189" s="1">
        <f>[1]gdp_ssp2!H188</f>
        <v>996.49869999999999</v>
      </c>
      <c r="E189" s="1">
        <f>[1]gdp_ssp2!M188</f>
        <v>5890.2269999999999</v>
      </c>
      <c r="F189" s="1">
        <f>[1]gdp_ssp2!R188</f>
        <v>78372.84</v>
      </c>
    </row>
    <row r="190" spans="1:6">
      <c r="A190">
        <f>[1]gdp_ssp2!A189</f>
        <v>804</v>
      </c>
      <c r="B190" t="str">
        <f>[1]gdp_ssp2!B189</f>
        <v xml:space="preserve">Ukraine                                 </v>
      </c>
      <c r="C190">
        <f>[1]gdp_ssp2!C189</f>
        <v>14</v>
      </c>
      <c r="D190" s="1">
        <f>[1]gdp_ssp2!H189</f>
        <v>6066.402</v>
      </c>
      <c r="E190" s="1">
        <f>[1]gdp_ssp2!M189</f>
        <v>16063.91</v>
      </c>
      <c r="F190" s="1">
        <f>[1]gdp_ssp2!R189</f>
        <v>45693.38</v>
      </c>
    </row>
    <row r="191" spans="1:6">
      <c r="A191">
        <f>[1]gdp_ssp2!A190</f>
        <v>807</v>
      </c>
      <c r="B191" t="str">
        <f>[1]gdp_ssp2!B190</f>
        <v>Macedonia. F. Yug. Rep. of</v>
      </c>
      <c r="C191">
        <f>[1]gdp_ssp2!C190</f>
        <v>12</v>
      </c>
      <c r="D191" s="1">
        <f>[1]gdp_ssp2!H190</f>
        <v>8762.6129999999994</v>
      </c>
      <c r="E191" s="1">
        <f>[1]gdp_ssp2!M190</f>
        <v>30044.31</v>
      </c>
      <c r="F191" s="1">
        <f>[1]gdp_ssp2!R190</f>
        <v>69935.47</v>
      </c>
    </row>
    <row r="192" spans="1:6">
      <c r="A192">
        <f>[1]gdp_ssp2!A191</f>
        <v>818</v>
      </c>
      <c r="B192" t="str">
        <f>[1]gdp_ssp2!B191</f>
        <v xml:space="preserve">Egypt                                      </v>
      </c>
      <c r="C192">
        <f>[1]gdp_ssp2!C191</f>
        <v>7</v>
      </c>
      <c r="D192" s="1">
        <f>[1]gdp_ssp2!H191</f>
        <v>5464.94</v>
      </c>
      <c r="E192" s="1">
        <f>[1]gdp_ssp2!M191</f>
        <v>18657.71</v>
      </c>
      <c r="F192" s="1">
        <f>[1]gdp_ssp2!R191</f>
        <v>58842.3</v>
      </c>
    </row>
    <row r="193" spans="1:6">
      <c r="A193">
        <f>[1]gdp_ssp2!A192</f>
        <v>826</v>
      </c>
      <c r="B193" t="str">
        <f>[1]gdp_ssp2!B192</f>
        <v>United Kingdom</v>
      </c>
      <c r="C193">
        <f>[1]gdp_ssp2!C192</f>
        <v>11</v>
      </c>
      <c r="D193" s="1">
        <f>[1]gdp_ssp2!H192</f>
        <v>28890.32</v>
      </c>
      <c r="E193" s="1">
        <f>[1]gdp_ssp2!M192</f>
        <v>49451.44</v>
      </c>
      <c r="F193" s="1">
        <f>[1]gdp_ssp2!R192</f>
        <v>102194.6</v>
      </c>
    </row>
    <row r="194" spans="1:6">
      <c r="A194">
        <f>[1]gdp_ssp2!A193</f>
        <v>834</v>
      </c>
      <c r="B194" t="str">
        <f>[1]gdp_ssp2!B193</f>
        <v>Tanzania</v>
      </c>
      <c r="C194">
        <f>[1]gdp_ssp2!C193</f>
        <v>26</v>
      </c>
      <c r="D194" s="1">
        <f>[1]gdp_ssp2!H193</f>
        <v>1406.431</v>
      </c>
      <c r="E194" s="1">
        <f>[1]gdp_ssp2!M193</f>
        <v>6839.2250000000004</v>
      </c>
      <c r="F194" s="1">
        <f>[1]gdp_ssp2!R193</f>
        <v>40641.82</v>
      </c>
    </row>
    <row r="195" spans="1:6">
      <c r="A195">
        <f>[1]gdp_ssp2!A194</f>
        <v>840</v>
      </c>
      <c r="B195" t="str">
        <f>[1]gdp_ssp2!B194</f>
        <v>United States</v>
      </c>
      <c r="C195">
        <f>[1]gdp_ssp2!C194</f>
        <v>2</v>
      </c>
      <c r="D195" s="1">
        <f>[1]gdp_ssp2!H194</f>
        <v>40307.370000000003</v>
      </c>
      <c r="E195" s="1">
        <f>[1]gdp_ssp2!M194</f>
        <v>58759.13</v>
      </c>
      <c r="F195" s="1">
        <f>[1]gdp_ssp2!R194</f>
        <v>78121.460000000006</v>
      </c>
    </row>
    <row r="196" spans="1:6">
      <c r="A196">
        <f>[1]gdp_ssp2!A195</f>
        <v>850</v>
      </c>
      <c r="B196" t="str">
        <f>[1]gdp_ssp2!B195</f>
        <v>Virgin Islands. U.S.</v>
      </c>
      <c r="C196">
        <f>[1]gdp_ssp2!C195</f>
        <v>4</v>
      </c>
      <c r="D196" s="1">
        <f>[1]gdp_ssp2!H195</f>
        <v>6365.1169174139413</v>
      </c>
      <c r="E196" s="1">
        <f>[1]gdp_ssp2!M195</f>
        <v>19353.97565147854</v>
      </c>
      <c r="F196" s="1">
        <f>[1]gdp_ssp2!R195</f>
        <v>69075.718127569067</v>
      </c>
    </row>
    <row r="197" spans="1:6">
      <c r="A197">
        <f>[1]gdp_ssp2!A196</f>
        <v>854</v>
      </c>
      <c r="B197" t="str">
        <f>[1]gdp_ssp2!B196</f>
        <v xml:space="preserve">Burkina Faso                            </v>
      </c>
      <c r="C197">
        <f>[1]gdp_ssp2!C196</f>
        <v>8</v>
      </c>
      <c r="D197" s="1">
        <f>[1]gdp_ssp2!H196</f>
        <v>722.69529999999997</v>
      </c>
      <c r="E197" s="1">
        <f>[1]gdp_ssp2!M196</f>
        <v>3018.4380000000001</v>
      </c>
      <c r="F197" s="1">
        <f>[1]gdp_ssp2!R196</f>
        <v>20992.02</v>
      </c>
    </row>
    <row r="198" spans="1:6">
      <c r="A198">
        <f>[1]gdp_ssp2!A197</f>
        <v>858</v>
      </c>
      <c r="B198" t="str">
        <f>[1]gdp_ssp2!B197</f>
        <v xml:space="preserve">Uruguay                                 </v>
      </c>
      <c r="C198">
        <f>[1]gdp_ssp2!C197</f>
        <v>6</v>
      </c>
      <c r="D198" s="1">
        <f>[1]gdp_ssp2!H197</f>
        <v>12660.54</v>
      </c>
      <c r="E198" s="1">
        <f>[1]gdp_ssp2!M197</f>
        <v>21749.89</v>
      </c>
      <c r="F198" s="1">
        <f>[1]gdp_ssp2!R197</f>
        <v>41088.050000000003</v>
      </c>
    </row>
    <row r="199" spans="1:6">
      <c r="A199">
        <f>[1]gdp_ssp2!A198</f>
        <v>860</v>
      </c>
      <c r="B199" t="str">
        <f>[1]gdp_ssp2!B198</f>
        <v xml:space="preserve">Uzbekistan                                      </v>
      </c>
      <c r="C199">
        <f>[1]gdp_ssp2!C198</f>
        <v>15</v>
      </c>
      <c r="D199" s="1">
        <f>[1]gdp_ssp2!H198</f>
        <v>2554.8560000000002</v>
      </c>
      <c r="E199" s="1">
        <f>[1]gdp_ssp2!M198</f>
        <v>12831.01</v>
      </c>
      <c r="F199" s="1">
        <f>[1]gdp_ssp2!R198</f>
        <v>35811.589999999997</v>
      </c>
    </row>
    <row r="200" spans="1:6">
      <c r="A200">
        <f>[1]gdp_ssp2!A199</f>
        <v>862</v>
      </c>
      <c r="B200" t="str">
        <f>[1]gdp_ssp2!B199</f>
        <v xml:space="preserve">Venezuela                                       </v>
      </c>
      <c r="C200">
        <f>[1]gdp_ssp2!C199</f>
        <v>6</v>
      </c>
      <c r="D200" s="1">
        <f>[1]gdp_ssp2!H199</f>
        <v>12459.63</v>
      </c>
      <c r="E200" s="1">
        <f>[1]gdp_ssp2!M199</f>
        <v>27349.315580570183</v>
      </c>
      <c r="F200" s="1">
        <f>[1]gdp_ssp2!R199</f>
        <v>69787.128870657965</v>
      </c>
    </row>
    <row r="201" spans="1:6">
      <c r="A201">
        <f>[1]gdp_ssp2!A200</f>
        <v>882</v>
      </c>
      <c r="B201" t="str">
        <f>[1]gdp_ssp2!B200</f>
        <v xml:space="preserve">Samoa                          </v>
      </c>
      <c r="C201">
        <f>[1]gdp_ssp2!C200</f>
        <v>24</v>
      </c>
      <c r="D201" s="1">
        <f>[1]gdp_ssp2!H200</f>
        <v>4223.0150000000003</v>
      </c>
      <c r="E201" s="1">
        <f>[1]gdp_ssp2!M200</f>
        <v>7227.8729999999996</v>
      </c>
      <c r="F201" s="1">
        <f>[1]gdp_ssp2!R200</f>
        <v>18864.23</v>
      </c>
    </row>
    <row r="202" spans="1:6">
      <c r="A202">
        <f>[1]gdp_ssp2!A201</f>
        <v>887</v>
      </c>
      <c r="B202" t="str">
        <f>[1]gdp_ssp2!B201</f>
        <v xml:space="preserve">Yemen                                           </v>
      </c>
      <c r="C202">
        <f>[1]gdp_ssp2!C201</f>
        <v>17</v>
      </c>
      <c r="D202" s="1">
        <f>[1]gdp_ssp2!H201</f>
        <v>2446.7979999999998</v>
      </c>
      <c r="E202" s="1">
        <f>[1]gdp_ssp2!M201</f>
        <v>4404.0020000000004</v>
      </c>
      <c r="F202" s="1">
        <f>[1]gdp_ssp2!R201</f>
        <v>20651.009999999998</v>
      </c>
    </row>
    <row r="203" spans="1:6">
      <c r="A203">
        <f>[1]gdp_ssp2!A202</f>
        <v>891</v>
      </c>
      <c r="B203" t="str">
        <f>[1]gdp_ssp2!B202</f>
        <v xml:space="preserve">Yugoslavia                              </v>
      </c>
      <c r="C203">
        <f>[1]gdp_ssp2!C202</f>
        <v>12</v>
      </c>
      <c r="D203" s="1">
        <f>[1]gdp_ssp2!H202</f>
        <v>7099.7792054602733</v>
      </c>
      <c r="E203" s="1">
        <f>[1]gdp_ssp2!M202</f>
        <v>18007.685464833325</v>
      </c>
      <c r="F203" s="1">
        <f>[1]gdp_ssp2!R202</f>
        <v>38164.142260065521</v>
      </c>
    </row>
    <row r="204" spans="1:6">
      <c r="A204">
        <f>[1]gdp_ssp2!A203</f>
        <v>894</v>
      </c>
      <c r="B204" t="str">
        <f>[1]gdp_ssp2!B203</f>
        <v xml:space="preserve">Zambia                                          </v>
      </c>
      <c r="C204">
        <f>[1]gdp_ssp2!C203</f>
        <v>26</v>
      </c>
      <c r="D204" s="1">
        <f>[1]gdp_ssp2!H203</f>
        <v>2224.6570000000002</v>
      </c>
      <c r="E204" s="1">
        <f>[1]gdp_ssp2!M203</f>
        <v>9500.223</v>
      </c>
      <c r="F204" s="1">
        <f>[1]gdp_ssp2!R203</f>
        <v>62132.76</v>
      </c>
    </row>
  </sheetData>
  <pageMargins left="0.7" right="0.7" top="0.75" bottom="0.75" header="0.3" footer="0.3"/>
  <customProperties>
    <customPr name="EpmWorksheetKeyString_GUID" r:id="rId1"/>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57AEC-02FB-46F8-9D6C-F149AF360BBC}">
  <dimension ref="A1:F204"/>
  <sheetViews>
    <sheetView workbookViewId="0"/>
  </sheetViews>
  <sheetFormatPr defaultRowHeight="15"/>
  <cols>
    <col min="4" max="6" width="10.5703125" bestFit="1" customWidth="1"/>
  </cols>
  <sheetData>
    <row r="1" spans="1:6">
      <c r="A1" t="s">
        <v>44</v>
      </c>
    </row>
    <row r="2" spans="1:6">
      <c r="A2" t="str">
        <f>[2]ssp2_popnum!A1</f>
        <v>#</v>
      </c>
      <c r="B2" t="str">
        <f>[2]ssp2_popnum!B1</f>
        <v>Population SSP2, unit: 1000</v>
      </c>
    </row>
    <row r="3" spans="1:6">
      <c r="A3" t="str">
        <f>[2]ssp2_popnum!A2</f>
        <v>#</v>
      </c>
      <c r="B3" t="str">
        <f>[2]ssp2_popnum!B2</f>
        <v>SSP2</v>
      </c>
      <c r="D3" t="str">
        <f>[2]ssp2_popnum!O2</f>
        <v>pop2010</v>
      </c>
      <c r="E3" t="str">
        <f>[2]ssp2_popnum!T2</f>
        <v>pop2050</v>
      </c>
      <c r="F3" t="str">
        <f>[2]ssp2_popnum!Y2</f>
        <v>pop2100</v>
      </c>
    </row>
    <row r="4" spans="1:6">
      <c r="A4" t="str">
        <f>[2]ssp2_popnum!A3</f>
        <v>ISO-CODE</v>
      </c>
      <c r="B4" t="str">
        <f>[2]ssp2_popnum!B3</f>
        <v>Country</v>
      </c>
      <c r="C4" t="str">
        <f>[2]ssp2_popnum!C3</f>
        <v>Image region</v>
      </c>
      <c r="D4">
        <f>[2]ssp2_popnum!O3</f>
        <v>2010</v>
      </c>
      <c r="E4">
        <f>[2]ssp2_popnum!T3</f>
        <v>2050</v>
      </c>
      <c r="F4">
        <f>[2]ssp2_popnum!Y3</f>
        <v>2100</v>
      </c>
    </row>
    <row r="5" spans="1:6">
      <c r="A5">
        <f>[2]ssp2_popnum!A4</f>
        <v>4</v>
      </c>
      <c r="B5" t="str">
        <f>[2]ssp2_popnum!B4</f>
        <v xml:space="preserve">Afghanistan                                </v>
      </c>
      <c r="C5">
        <f>[2]ssp2_popnum!C4</f>
        <v>25</v>
      </c>
      <c r="D5" s="1">
        <f>[2]ssp2_popnum!O4</f>
        <v>28803.167000000001</v>
      </c>
      <c r="E5" s="1">
        <f>[2]ssp2_popnum!T4</f>
        <v>45662.535360136913</v>
      </c>
      <c r="F5" s="1">
        <f>[2]ssp2_popnum!Y4</f>
        <v>48702.476640425841</v>
      </c>
    </row>
    <row r="6" spans="1:6">
      <c r="A6">
        <f>[2]ssp2_popnum!A5</f>
        <v>8</v>
      </c>
      <c r="B6" t="str">
        <f>[2]ssp2_popnum!B5</f>
        <v xml:space="preserve">Albania                                         </v>
      </c>
      <c r="C6">
        <f>[2]ssp2_popnum!C5</f>
        <v>12</v>
      </c>
      <c r="D6" s="1">
        <f>[2]ssp2_popnum!O5</f>
        <v>2940.5250000000001</v>
      </c>
      <c r="E6" s="1">
        <f>[2]ssp2_popnum!T5</f>
        <v>2704.3239662609953</v>
      </c>
      <c r="F6" s="1">
        <f>[2]ssp2_popnum!Y5</f>
        <v>2082.1968900469938</v>
      </c>
    </row>
    <row r="7" spans="1:6">
      <c r="A7">
        <f>[2]ssp2_popnum!A6</f>
        <v>12</v>
      </c>
      <c r="B7" t="str">
        <f>[2]ssp2_popnum!B6</f>
        <v xml:space="preserve">Algeria                      </v>
      </c>
      <c r="C7">
        <f>[2]ssp2_popnum!C6</f>
        <v>7</v>
      </c>
      <c r="D7" s="1">
        <f>[2]ssp2_popnum!O6</f>
        <v>36117.637000000002</v>
      </c>
      <c r="E7" s="1">
        <f>[2]ssp2_popnum!T6</f>
        <v>52256.253384821532</v>
      </c>
      <c r="F7" s="1">
        <f>[2]ssp2_popnum!Y6</f>
        <v>50969.217836418422</v>
      </c>
    </row>
    <row r="8" spans="1:6">
      <c r="A8">
        <f>[2]ssp2_popnum!A7</f>
        <v>16</v>
      </c>
      <c r="B8" t="str">
        <f>[2]ssp2_popnum!B7</f>
        <v xml:space="preserve">American Samoa                          </v>
      </c>
      <c r="C8">
        <f>[2]ssp2_popnum!C7</f>
        <v>24</v>
      </c>
      <c r="D8" s="1">
        <f>[2]ssp2_popnum!O7</f>
        <v>55.637</v>
      </c>
      <c r="E8" s="1">
        <f>[2]ssp2_popnum!T7</f>
        <v>86.184345332746304</v>
      </c>
      <c r="F8" s="1">
        <f>[2]ssp2_popnum!Y7</f>
        <v>99.71031487181223</v>
      </c>
    </row>
    <row r="9" spans="1:6">
      <c r="A9">
        <f>[2]ssp2_popnum!A8</f>
        <v>20</v>
      </c>
      <c r="B9" t="str">
        <f>[2]ssp2_popnum!B8</f>
        <v xml:space="preserve">Andorra                                     </v>
      </c>
      <c r="C9">
        <f>[2]ssp2_popnum!C8</f>
        <v>11</v>
      </c>
      <c r="D9" s="1">
        <f>[2]ssp2_popnum!O8</f>
        <v>84.448999999999998</v>
      </c>
      <c r="E9" s="1">
        <f>[2]ssp2_popnum!T8</f>
        <v>93.825275813102579</v>
      </c>
      <c r="F9" s="1">
        <f>[2]ssp2_popnum!Y8</f>
        <v>92.034451365652259</v>
      </c>
    </row>
    <row r="10" spans="1:6">
      <c r="A10">
        <f>[2]ssp2_popnum!A9</f>
        <v>24</v>
      </c>
      <c r="B10" t="str">
        <f>[2]ssp2_popnum!B9</f>
        <v xml:space="preserve">Angola                                          </v>
      </c>
      <c r="C10">
        <f>[2]ssp2_popnum!C9</f>
        <v>26</v>
      </c>
      <c r="D10" s="1">
        <f>[2]ssp2_popnum!O9</f>
        <v>23369.131000000001</v>
      </c>
      <c r="E10" s="1">
        <f>[2]ssp2_popnum!T9</f>
        <v>50226.681534883312</v>
      </c>
      <c r="F10" s="1">
        <f>[2]ssp2_popnum!Y9</f>
        <v>67994.953521980016</v>
      </c>
    </row>
    <row r="11" spans="1:6">
      <c r="A11">
        <f>[2]ssp2_popnum!A10</f>
        <v>31</v>
      </c>
      <c r="B11" t="str">
        <f>[2]ssp2_popnum!B10</f>
        <v>Azerbaijan</v>
      </c>
      <c r="C11">
        <f>[2]ssp2_popnum!C10</f>
        <v>16</v>
      </c>
      <c r="D11" s="1">
        <f>[2]ssp2_popnum!O10</f>
        <v>9032.4570000000003</v>
      </c>
      <c r="E11" s="1">
        <f>[2]ssp2_popnum!T10</f>
        <v>8741.5381143840059</v>
      </c>
      <c r="F11" s="1">
        <f>[2]ssp2_popnum!Y10</f>
        <v>7731.6913336218968</v>
      </c>
    </row>
    <row r="12" spans="1:6">
      <c r="A12">
        <f>[2]ssp2_popnum!A11</f>
        <v>32</v>
      </c>
      <c r="B12" t="str">
        <f>[2]ssp2_popnum!B11</f>
        <v>Argentina</v>
      </c>
      <c r="C12">
        <f>[2]ssp2_popnum!C11</f>
        <v>6</v>
      </c>
      <c r="D12" s="1">
        <f>[2]ssp2_popnum!O11</f>
        <v>41223.889000000003</v>
      </c>
      <c r="E12" s="1">
        <f>[2]ssp2_popnum!T11</f>
        <v>54125.368676569407</v>
      </c>
      <c r="F12" s="1">
        <f>[2]ssp2_popnum!Y11</f>
        <v>50637.774996030908</v>
      </c>
    </row>
    <row r="13" spans="1:6">
      <c r="A13">
        <f>[2]ssp2_popnum!A12</f>
        <v>36</v>
      </c>
      <c r="B13" t="str">
        <f>[2]ssp2_popnum!B12</f>
        <v xml:space="preserve">Australia                               </v>
      </c>
      <c r="C13">
        <f>[2]ssp2_popnum!C12</f>
        <v>24</v>
      </c>
      <c r="D13" s="1">
        <f>[2]ssp2_popnum!O12</f>
        <v>22120.063999999998</v>
      </c>
      <c r="E13" s="1">
        <f>[2]ssp2_popnum!T12</f>
        <v>34265.025694384123</v>
      </c>
      <c r="F13" s="1">
        <f>[2]ssp2_popnum!Y12</f>
        <v>39642.657699456082</v>
      </c>
    </row>
    <row r="14" spans="1:6">
      <c r="A14">
        <f>[2]ssp2_popnum!A13</f>
        <v>40</v>
      </c>
      <c r="B14" t="str">
        <f>[2]ssp2_popnum!B13</f>
        <v xml:space="preserve">Austria                                         </v>
      </c>
      <c r="C14">
        <f>[2]ssp2_popnum!C13</f>
        <v>11</v>
      </c>
      <c r="D14" s="1">
        <f>[2]ssp2_popnum!O13</f>
        <v>8409.9490000000005</v>
      </c>
      <c r="E14" s="1">
        <f>[2]ssp2_popnum!T13</f>
        <v>9343.6960117837534</v>
      </c>
      <c r="F14" s="1">
        <f>[2]ssp2_popnum!Y13</f>
        <v>9165.3547375115868</v>
      </c>
    </row>
    <row r="15" spans="1:6">
      <c r="A15">
        <f>[2]ssp2_popnum!A14</f>
        <v>44</v>
      </c>
      <c r="B15" t="str">
        <f>[2]ssp2_popnum!B14</f>
        <v xml:space="preserve">Bahamas                                 </v>
      </c>
      <c r="C15">
        <f>[2]ssp2_popnum!C14</f>
        <v>4</v>
      </c>
      <c r="D15" s="1">
        <f>[2]ssp2_popnum!O14</f>
        <v>360.83199999999999</v>
      </c>
      <c r="E15" s="1">
        <f>[2]ssp2_popnum!T14</f>
        <v>462.95567370600418</v>
      </c>
      <c r="F15" s="1">
        <f>[2]ssp2_popnum!Y14</f>
        <v>432.57944980237158</v>
      </c>
    </row>
    <row r="16" spans="1:6">
      <c r="A16">
        <f>[2]ssp2_popnum!A15</f>
        <v>48</v>
      </c>
      <c r="B16" t="str">
        <f>[2]ssp2_popnum!B15</f>
        <v xml:space="preserve">Bahrain                                            </v>
      </c>
      <c r="C16">
        <f>[2]ssp2_popnum!C15</f>
        <v>17</v>
      </c>
      <c r="D16" s="1">
        <f>[2]ssp2_popnum!O15</f>
        <v>1240.8620000000001</v>
      </c>
      <c r="E16" s="1">
        <f>[2]ssp2_popnum!T15</f>
        <v>2175.697975102652</v>
      </c>
      <c r="F16" s="1">
        <f>[2]ssp2_popnum!Y15</f>
        <v>2433.0255550848315</v>
      </c>
    </row>
    <row r="17" spans="1:6">
      <c r="A17">
        <f>[2]ssp2_popnum!A16</f>
        <v>50</v>
      </c>
      <c r="B17" t="str">
        <f>[2]ssp2_popnum!B16</f>
        <v>Bangladesh</v>
      </c>
      <c r="C17">
        <f>[2]ssp2_popnum!C16</f>
        <v>25</v>
      </c>
      <c r="D17" s="1">
        <f>[2]ssp2_popnum!O16</f>
        <v>152149.10200000001</v>
      </c>
      <c r="E17" s="1">
        <f>[2]ssp2_popnum!T16</f>
        <v>241206.59197261461</v>
      </c>
      <c r="F17" s="1">
        <f>[2]ssp2_popnum!Y16</f>
        <v>257264.698913726</v>
      </c>
    </row>
    <row r="18" spans="1:6">
      <c r="A18">
        <f>[2]ssp2_popnum!A17</f>
        <v>51</v>
      </c>
      <c r="B18" t="str">
        <f>[2]ssp2_popnum!B17</f>
        <v xml:space="preserve">Armenia                                         </v>
      </c>
      <c r="C18">
        <f>[2]ssp2_popnum!C17</f>
        <v>16</v>
      </c>
      <c r="D18" s="1">
        <f>[2]ssp2_popnum!O17</f>
        <v>2877.3110000000001</v>
      </c>
      <c r="E18" s="1">
        <f>[2]ssp2_popnum!T17</f>
        <v>2784.6380861194643</v>
      </c>
      <c r="F18" s="1">
        <f>[2]ssp2_popnum!Y17</f>
        <v>2462.9489542917231</v>
      </c>
    </row>
    <row r="19" spans="1:6">
      <c r="A19">
        <f>[2]ssp2_popnum!A18</f>
        <v>52</v>
      </c>
      <c r="B19" t="str">
        <f>[2]ssp2_popnum!B18</f>
        <v xml:space="preserve">Barbados                                </v>
      </c>
      <c r="C19">
        <f>[2]ssp2_popnum!C18</f>
        <v>4</v>
      </c>
      <c r="D19" s="1">
        <f>[2]ssp2_popnum!O18</f>
        <v>279.56900000000002</v>
      </c>
      <c r="E19" s="1">
        <f>[2]ssp2_popnum!T18</f>
        <v>358.69339399585925</v>
      </c>
      <c r="F19" s="1">
        <f>[2]ssp2_popnum!Y18</f>
        <v>335.15820160573128</v>
      </c>
    </row>
    <row r="20" spans="1:6">
      <c r="A20">
        <f>[2]ssp2_popnum!A19</f>
        <v>56</v>
      </c>
      <c r="B20" t="str">
        <f>[2]ssp2_popnum!B19</f>
        <v xml:space="preserve">Belgium                                          </v>
      </c>
      <c r="C20">
        <f>[2]ssp2_popnum!C19</f>
        <v>11</v>
      </c>
      <c r="D20" s="1">
        <f>[2]ssp2_popnum!O19</f>
        <v>10938.739</v>
      </c>
      <c r="E20" s="1">
        <f>[2]ssp2_popnum!T19</f>
        <v>12153.254671133369</v>
      </c>
      <c r="F20" s="1">
        <f>[2]ssp2_popnum!Y19</f>
        <v>11921.287907459693</v>
      </c>
    </row>
    <row r="21" spans="1:6">
      <c r="A21">
        <f>[2]ssp2_popnum!A20</f>
        <v>64</v>
      </c>
      <c r="B21" t="str">
        <f>[2]ssp2_popnum!B20</f>
        <v xml:space="preserve">Bhutan                                           </v>
      </c>
      <c r="C21">
        <f>[2]ssp2_popnum!C20</f>
        <v>25</v>
      </c>
      <c r="D21" s="1">
        <f>[2]ssp2_popnum!O20</f>
        <v>727.64099999999996</v>
      </c>
      <c r="E21" s="1">
        <f>[2]ssp2_popnum!T20</f>
        <v>1153.5513748187961</v>
      </c>
      <c r="F21" s="1">
        <f>[2]ssp2_popnum!Y20</f>
        <v>1230.3479962851341</v>
      </c>
    </row>
    <row r="22" spans="1:6">
      <c r="A22">
        <f>[2]ssp2_popnum!A21</f>
        <v>68</v>
      </c>
      <c r="B22" t="str">
        <f>[2]ssp2_popnum!B21</f>
        <v>Bolivia</v>
      </c>
      <c r="C22">
        <f>[2]ssp2_popnum!C21</f>
        <v>6</v>
      </c>
      <c r="D22" s="1">
        <f>[2]ssp2_popnum!O21</f>
        <v>9918.2420000000002</v>
      </c>
      <c r="E22" s="1">
        <f>[2]ssp2_popnum!T21</f>
        <v>13022.267376894864</v>
      </c>
      <c r="F22" s="1">
        <f>[2]ssp2_popnum!Y21</f>
        <v>12183.171431307308</v>
      </c>
    </row>
    <row r="23" spans="1:6">
      <c r="A23">
        <f>[2]ssp2_popnum!A22</f>
        <v>70</v>
      </c>
      <c r="B23" t="str">
        <f>[2]ssp2_popnum!B22</f>
        <v xml:space="preserve">Bosnia and Herzegovina                          </v>
      </c>
      <c r="C23">
        <f>[2]ssp2_popnum!C22</f>
        <v>12</v>
      </c>
      <c r="D23" s="1">
        <f>[2]ssp2_popnum!O22</f>
        <v>3722.0839999999998</v>
      </c>
      <c r="E23" s="1">
        <f>[2]ssp2_popnum!T22</f>
        <v>3423.103345707515</v>
      </c>
      <c r="F23" s="1">
        <f>[2]ssp2_popnum!Y22</f>
        <v>2635.6217781837172</v>
      </c>
    </row>
    <row r="24" spans="1:6">
      <c r="A24">
        <f>[2]ssp2_popnum!A23</f>
        <v>72</v>
      </c>
      <c r="B24" t="str">
        <f>[2]ssp2_popnum!B23</f>
        <v xml:space="preserve">Botswana                                        </v>
      </c>
      <c r="C24">
        <f>[2]ssp2_popnum!C23</f>
        <v>26</v>
      </c>
      <c r="D24" s="1">
        <f>[2]ssp2_popnum!O23</f>
        <v>2014.866</v>
      </c>
      <c r="E24" s="1">
        <f>[2]ssp2_popnum!T23</f>
        <v>4330.5004759254498</v>
      </c>
      <c r="F24" s="1">
        <f>[2]ssp2_popnum!Y23</f>
        <v>5862.4653190149775</v>
      </c>
    </row>
    <row r="25" spans="1:6">
      <c r="A25">
        <f>[2]ssp2_popnum!A24</f>
        <v>76</v>
      </c>
      <c r="B25" t="str">
        <f>[2]ssp2_popnum!B24</f>
        <v xml:space="preserve">Brazil                               </v>
      </c>
      <c r="C25">
        <f>[2]ssp2_popnum!C24</f>
        <v>5</v>
      </c>
      <c r="D25" s="1">
        <f>[2]ssp2_popnum!O24</f>
        <v>196796.269</v>
      </c>
      <c r="E25" s="1">
        <f>[2]ssp2_popnum!T24</f>
        <v>235077.82132689437</v>
      </c>
      <c r="F25" s="1">
        <f>[2]ssp2_popnum!Y24</f>
        <v>191023.26110889958</v>
      </c>
    </row>
    <row r="26" spans="1:6">
      <c r="A26">
        <f>[2]ssp2_popnum!A25</f>
        <v>84</v>
      </c>
      <c r="B26" t="str">
        <f>[2]ssp2_popnum!B25</f>
        <v xml:space="preserve">Belize                                  </v>
      </c>
      <c r="C26">
        <f>[2]ssp2_popnum!C25</f>
        <v>4</v>
      </c>
      <c r="D26" s="1">
        <f>[2]ssp2_popnum!O25</f>
        <v>321.608</v>
      </c>
      <c r="E26" s="1">
        <f>[2]ssp2_popnum!T25</f>
        <v>412.63038840579713</v>
      </c>
      <c r="F26" s="1">
        <f>[2]ssp2_popnum!Y25</f>
        <v>385.55619150197634</v>
      </c>
    </row>
    <row r="27" spans="1:6">
      <c r="A27">
        <f>[2]ssp2_popnum!A26</f>
        <v>90</v>
      </c>
      <c r="B27" t="str">
        <f>[2]ssp2_popnum!B26</f>
        <v xml:space="preserve">Solomon Islands                         </v>
      </c>
      <c r="C27">
        <f>[2]ssp2_popnum!C26</f>
        <v>24</v>
      </c>
      <c r="D27" s="1">
        <f>[2]ssp2_popnum!O26</f>
        <v>527.79</v>
      </c>
      <c r="E27" s="1">
        <f>[2]ssp2_popnum!T26</f>
        <v>817.57168113252271</v>
      </c>
      <c r="F27" s="1">
        <f>[2]ssp2_popnum!Y26</f>
        <v>945.88326268838671</v>
      </c>
    </row>
    <row r="28" spans="1:6">
      <c r="A28">
        <f>[2]ssp2_popnum!A27</f>
        <v>96</v>
      </c>
      <c r="B28" t="str">
        <f>[2]ssp2_popnum!B27</f>
        <v xml:space="preserve">Brunei Darussalam                       </v>
      </c>
      <c r="C28">
        <f>[2]ssp2_popnum!C27</f>
        <v>21</v>
      </c>
      <c r="D28" s="1">
        <f>[2]ssp2_popnum!O27</f>
        <v>388.66199999999998</v>
      </c>
      <c r="E28" s="1">
        <f>[2]ssp2_popnum!T27</f>
        <v>501.0927298245515</v>
      </c>
      <c r="F28" s="1">
        <f>[2]ssp2_popnum!Y27</f>
        <v>448.22843199785791</v>
      </c>
    </row>
    <row r="29" spans="1:6">
      <c r="A29">
        <f>[2]ssp2_popnum!A28</f>
        <v>100</v>
      </c>
      <c r="B29" t="str">
        <f>[2]ssp2_popnum!B28</f>
        <v xml:space="preserve">Bulgaria                                        </v>
      </c>
      <c r="C29">
        <f>[2]ssp2_popnum!C28</f>
        <v>12</v>
      </c>
      <c r="D29" s="1">
        <f>[2]ssp2_popnum!O28</f>
        <v>7404.59</v>
      </c>
      <c r="E29" s="1">
        <f>[2]ssp2_popnum!T28</f>
        <v>6809.8078395308676</v>
      </c>
      <c r="F29" s="1">
        <f>[2]ssp2_popnum!Y28</f>
        <v>5243.2182246616067</v>
      </c>
    </row>
    <row r="30" spans="1:6">
      <c r="A30">
        <f>[2]ssp2_popnum!A29</f>
        <v>104</v>
      </c>
      <c r="B30" t="str">
        <f>[2]ssp2_popnum!B29</f>
        <v xml:space="preserve">Myanmar                                            </v>
      </c>
      <c r="C30">
        <f>[2]ssp2_popnum!C29</f>
        <v>21</v>
      </c>
      <c r="D30" s="1">
        <f>[2]ssp2_popnum!O29</f>
        <v>50155.896000000001</v>
      </c>
      <c r="E30" s="1">
        <f>[2]ssp2_popnum!T29</f>
        <v>64664.811181531266</v>
      </c>
      <c r="F30" s="1">
        <f>[2]ssp2_popnum!Y29</f>
        <v>57842.800735671706</v>
      </c>
    </row>
    <row r="31" spans="1:6">
      <c r="A31">
        <f>[2]ssp2_popnum!A30</f>
        <v>108</v>
      </c>
      <c r="B31" t="str">
        <f>[2]ssp2_popnum!B30</f>
        <v xml:space="preserve">Burundi                                         </v>
      </c>
      <c r="C31">
        <f>[2]ssp2_popnum!C30</f>
        <v>9</v>
      </c>
      <c r="D31" s="1">
        <f>[2]ssp2_popnum!O30</f>
        <v>8766.93</v>
      </c>
      <c r="E31" s="1">
        <f>[2]ssp2_popnum!T30</f>
        <v>18527.933503111202</v>
      </c>
      <c r="F31" s="1">
        <f>[2]ssp2_popnum!Y30</f>
        <v>24656.179393699902</v>
      </c>
    </row>
    <row r="32" spans="1:6">
      <c r="A32">
        <f>[2]ssp2_popnum!A31</f>
        <v>112</v>
      </c>
      <c r="B32" t="str">
        <f>[2]ssp2_popnum!B31</f>
        <v xml:space="preserve">Belarus                                         </v>
      </c>
      <c r="C32">
        <f>[2]ssp2_popnum!C31</f>
        <v>14</v>
      </c>
      <c r="D32" s="1">
        <f>[2]ssp2_popnum!O31</f>
        <v>9473.0709999999999</v>
      </c>
      <c r="E32" s="1">
        <f>[2]ssp2_popnum!T31</f>
        <v>8040.9597393839931</v>
      </c>
      <c r="F32" s="1">
        <f>[2]ssp2_popnum!Y31</f>
        <v>6556.6069263113723</v>
      </c>
    </row>
    <row r="33" spans="1:6">
      <c r="A33">
        <f>[2]ssp2_popnum!A32</f>
        <v>116</v>
      </c>
      <c r="B33" t="str">
        <f>[2]ssp2_popnum!B32</f>
        <v xml:space="preserve">Cambodia                                         </v>
      </c>
      <c r="C33">
        <f>[2]ssp2_popnum!C32</f>
        <v>21</v>
      </c>
      <c r="D33" s="1">
        <f>[2]ssp2_popnum!O32</f>
        <v>14308.74</v>
      </c>
      <c r="E33" s="1">
        <f>[2]ssp2_popnum!T32</f>
        <v>18447.920267352489</v>
      </c>
      <c r="F33" s="1">
        <f>[2]ssp2_popnum!Y32</f>
        <v>16501.700948549202</v>
      </c>
    </row>
    <row r="34" spans="1:6">
      <c r="A34">
        <f>[2]ssp2_popnum!A33</f>
        <v>120</v>
      </c>
      <c r="B34" t="str">
        <f>[2]ssp2_popnum!B33</f>
        <v xml:space="preserve">Cameroon                                        </v>
      </c>
      <c r="C34">
        <f>[2]ssp2_popnum!C33</f>
        <v>8</v>
      </c>
      <c r="D34" s="1">
        <f>[2]ssp2_popnum!O33</f>
        <v>19970.494999999999</v>
      </c>
      <c r="E34" s="1">
        <f>[2]ssp2_popnum!T33</f>
        <v>44496.994235709375</v>
      </c>
      <c r="F34" s="1">
        <f>[2]ssp2_popnum!Y33</f>
        <v>63080.829964402707</v>
      </c>
    </row>
    <row r="35" spans="1:6">
      <c r="A35">
        <f>[2]ssp2_popnum!A34</f>
        <v>124</v>
      </c>
      <c r="B35" t="str">
        <f>[2]ssp2_popnum!B34</f>
        <v xml:space="preserve">Canada                                  </v>
      </c>
      <c r="C35">
        <f>[2]ssp2_popnum!C34</f>
        <v>1</v>
      </c>
      <c r="D35" s="1">
        <f>[2]ssp2_popnum!O34</f>
        <v>34168.667999999998</v>
      </c>
      <c r="E35" s="1">
        <f>[2]ssp2_popnum!T34</f>
        <v>47706.626458372208</v>
      </c>
      <c r="F35" s="1">
        <f>[2]ssp2_popnum!Y34</f>
        <v>54563.099837421061</v>
      </c>
    </row>
    <row r="36" spans="1:6">
      <c r="A36">
        <f>[2]ssp2_popnum!A35</f>
        <v>132</v>
      </c>
      <c r="B36" t="str">
        <f>[2]ssp2_popnum!B35</f>
        <v xml:space="preserve">Cape Verde                                      </v>
      </c>
      <c r="C36">
        <f>[2]ssp2_popnum!C35</f>
        <v>8</v>
      </c>
      <c r="D36" s="1">
        <f>[2]ssp2_popnum!O35</f>
        <v>502.38400000000001</v>
      </c>
      <c r="E36" s="1">
        <f>[2]ssp2_popnum!T35</f>
        <v>1119.3802633391219</v>
      </c>
      <c r="F36" s="1">
        <f>[2]ssp2_popnum!Y35</f>
        <v>1586.8810302817478</v>
      </c>
    </row>
    <row r="37" spans="1:6">
      <c r="A37">
        <f>[2]ssp2_popnum!A36</f>
        <v>140</v>
      </c>
      <c r="B37" t="str">
        <f>[2]ssp2_popnum!B36</f>
        <v xml:space="preserve">Central African Republic                </v>
      </c>
      <c r="C37">
        <f>[2]ssp2_popnum!C36</f>
        <v>8</v>
      </c>
      <c r="D37" s="1">
        <f>[2]ssp2_popnum!O36</f>
        <v>4448.5249999999996</v>
      </c>
      <c r="E37" s="1">
        <f>[2]ssp2_popnum!T36</f>
        <v>9911.9221272386603</v>
      </c>
      <c r="F37" s="1">
        <f>[2]ssp2_popnum!Y36</f>
        <v>14051.562022743779</v>
      </c>
    </row>
    <row r="38" spans="1:6">
      <c r="A38">
        <f>[2]ssp2_popnum!A37</f>
        <v>144</v>
      </c>
      <c r="B38" t="str">
        <f>[2]ssp2_popnum!B37</f>
        <v xml:space="preserve">Sri Lanka                  </v>
      </c>
      <c r="C38">
        <f>[2]ssp2_popnum!C37</f>
        <v>25</v>
      </c>
      <c r="D38" s="1">
        <f>[2]ssp2_popnum!O37</f>
        <v>20198.352999999999</v>
      </c>
      <c r="E38" s="1">
        <f>[2]ssp2_popnum!T37</f>
        <v>32021.062408832589</v>
      </c>
      <c r="F38" s="1">
        <f>[2]ssp2_popnum!Y37</f>
        <v>34152.835178075213</v>
      </c>
    </row>
    <row r="39" spans="1:6">
      <c r="A39">
        <f>[2]ssp2_popnum!A38</f>
        <v>148</v>
      </c>
      <c r="B39" t="str">
        <f>[2]ssp2_popnum!B38</f>
        <v xml:space="preserve">Chad                                            </v>
      </c>
      <c r="C39">
        <f>[2]ssp2_popnum!C38</f>
        <v>8</v>
      </c>
      <c r="D39" s="1">
        <f>[2]ssp2_popnum!O38</f>
        <v>11887.201999999999</v>
      </c>
      <c r="E39" s="1">
        <f>[2]ssp2_popnum!T38</f>
        <v>26486.311875229578</v>
      </c>
      <c r="F39" s="1">
        <f>[2]ssp2_popnum!Y38</f>
        <v>37548.12127163136</v>
      </c>
    </row>
    <row r="40" spans="1:6">
      <c r="A40">
        <f>[2]ssp2_popnum!A39</f>
        <v>152</v>
      </c>
      <c r="B40" t="str">
        <f>[2]ssp2_popnum!B39</f>
        <v xml:space="preserve">Chile                                           </v>
      </c>
      <c r="C40">
        <f>[2]ssp2_popnum!C39</f>
        <v>6</v>
      </c>
      <c r="D40" s="1">
        <f>[2]ssp2_popnum!O39</f>
        <v>16993.353999999999</v>
      </c>
      <c r="E40" s="1">
        <f>[2]ssp2_popnum!T39</f>
        <v>22311.615245748777</v>
      </c>
      <c r="F40" s="1">
        <f>[2]ssp2_popnum!Y39</f>
        <v>20873.955785197795</v>
      </c>
    </row>
    <row r="41" spans="1:6">
      <c r="A41">
        <f>[2]ssp2_popnum!A40</f>
        <v>156</v>
      </c>
      <c r="B41" t="str">
        <f>[2]ssp2_popnum!B40</f>
        <v>China</v>
      </c>
      <c r="C41">
        <f>[2]ssp2_popnum!C40</f>
        <v>20</v>
      </c>
      <c r="D41" s="1">
        <f>[2]ssp2_popnum!O40</f>
        <v>1359755.102</v>
      </c>
      <c r="E41" s="1">
        <f>[2]ssp2_popnum!T40</f>
        <v>1298057.5460558224</v>
      </c>
      <c r="F41" s="1">
        <f>[2]ssp2_popnum!Y40</f>
        <v>793011.92558185058</v>
      </c>
    </row>
    <row r="42" spans="1:6">
      <c r="A42">
        <f>[2]ssp2_popnum!A41</f>
        <v>158</v>
      </c>
      <c r="B42" t="str">
        <f>[2]ssp2_popnum!B41</f>
        <v xml:space="preserve">Taiwan. Province of China                                   </v>
      </c>
      <c r="C42">
        <f>[2]ssp2_popnum!C41</f>
        <v>20</v>
      </c>
      <c r="D42" s="1">
        <f>[2]ssp2_popnum!O41</f>
        <v>23102.405999999999</v>
      </c>
      <c r="E42" s="1">
        <f>[2]ssp2_popnum!T41</f>
        <v>22054.156955349528</v>
      </c>
      <c r="F42" s="1">
        <f>[2]ssp2_popnum!Y41</f>
        <v>13473.369903659092</v>
      </c>
    </row>
    <row r="43" spans="1:6">
      <c r="A43">
        <f>[2]ssp2_popnum!A42</f>
        <v>170</v>
      </c>
      <c r="B43" t="str">
        <f>[2]ssp2_popnum!B42</f>
        <v xml:space="preserve">Colombia                                        </v>
      </c>
      <c r="C43">
        <f>[2]ssp2_popnum!C42</f>
        <v>6</v>
      </c>
      <c r="D43" s="1">
        <f>[2]ssp2_popnum!O42</f>
        <v>45918.097000000002</v>
      </c>
      <c r="E43" s="1">
        <f>[2]ssp2_popnum!T42</f>
        <v>60288.681862389923</v>
      </c>
      <c r="F43" s="1">
        <f>[2]ssp2_popnum!Y42</f>
        <v>56403.95218733298</v>
      </c>
    </row>
    <row r="44" spans="1:6">
      <c r="A44">
        <f>[2]ssp2_popnum!A43</f>
        <v>174</v>
      </c>
      <c r="B44" t="str">
        <f>[2]ssp2_popnum!B43</f>
        <v xml:space="preserve">Comoros                     </v>
      </c>
      <c r="C44">
        <f>[2]ssp2_popnum!C43</f>
        <v>9</v>
      </c>
      <c r="D44" s="1">
        <f>[2]ssp2_popnum!O43</f>
        <v>689.69200000000001</v>
      </c>
      <c r="E44" s="1">
        <f>[2]ssp2_popnum!T43</f>
        <v>1457.5874922724113</v>
      </c>
      <c r="F44" s="1">
        <f>[2]ssp2_popnum!Y43</f>
        <v>1939.6949306541371</v>
      </c>
    </row>
    <row r="45" spans="1:6">
      <c r="A45">
        <f>[2]ssp2_popnum!A44</f>
        <v>178</v>
      </c>
      <c r="B45" t="str">
        <f>[2]ssp2_popnum!B44</f>
        <v xml:space="preserve">Congo                                       </v>
      </c>
      <c r="C45">
        <f>[2]ssp2_popnum!C44</f>
        <v>8</v>
      </c>
      <c r="D45" s="1">
        <f>[2]ssp2_popnum!O44</f>
        <v>4386.6930000000002</v>
      </c>
      <c r="E45" s="1">
        <f>[2]ssp2_popnum!T44</f>
        <v>9774.1519744416291</v>
      </c>
      <c r="F45" s="1">
        <f>[2]ssp2_popnum!Y44</f>
        <v>13856.253199484321</v>
      </c>
    </row>
    <row r="46" spans="1:6">
      <c r="A46">
        <f>[2]ssp2_popnum!A45</f>
        <v>180</v>
      </c>
      <c r="B46" t="str">
        <f>[2]ssp2_popnum!B45</f>
        <v>Congo. The Dem. Rep. of the</v>
      </c>
      <c r="C46">
        <f>[2]ssp2_popnum!C45</f>
        <v>8</v>
      </c>
      <c r="D46" s="1">
        <f>[2]ssp2_popnum!O45</f>
        <v>64523.262999999999</v>
      </c>
      <c r="E46" s="1">
        <f>[2]ssp2_popnum!T45</f>
        <v>143766.6548465704</v>
      </c>
      <c r="F46" s="1">
        <f>[2]ssp2_popnum!Y45</f>
        <v>203809.71939110357</v>
      </c>
    </row>
    <row r="47" spans="1:6">
      <c r="A47">
        <f>[2]ssp2_popnum!A46</f>
        <v>188</v>
      </c>
      <c r="B47" t="str">
        <f>[2]ssp2_popnum!B46</f>
        <v xml:space="preserve">Costa Rica                                      </v>
      </c>
      <c r="C47">
        <f>[2]ssp2_popnum!C46</f>
        <v>4</v>
      </c>
      <c r="D47" s="1">
        <f>[2]ssp2_popnum!O46</f>
        <v>4545.28</v>
      </c>
      <c r="E47" s="1">
        <f>[2]ssp2_popnum!T46</f>
        <v>5831.6977556935817</v>
      </c>
      <c r="F47" s="1">
        <f>[2]ssp2_popnum!Y46</f>
        <v>5449.0586245059294</v>
      </c>
    </row>
    <row r="48" spans="1:6">
      <c r="A48">
        <f>[2]ssp2_popnum!A47</f>
        <v>191</v>
      </c>
      <c r="B48" t="str">
        <f>[2]ssp2_popnum!B47</f>
        <v xml:space="preserve">Croatia                                         </v>
      </c>
      <c r="C48">
        <f>[2]ssp2_popnum!C47</f>
        <v>12</v>
      </c>
      <c r="D48" s="1">
        <f>[2]ssp2_popnum!O47</f>
        <v>4328.1530000000002</v>
      </c>
      <c r="E48" s="1">
        <f>[2]ssp2_popnum!T47</f>
        <v>3980.4891601140703</v>
      </c>
      <c r="F48" s="1">
        <f>[2]ssp2_popnum!Y47</f>
        <v>3064.7815326336513</v>
      </c>
    </row>
    <row r="49" spans="1:6">
      <c r="A49">
        <f>[2]ssp2_popnum!A48</f>
        <v>192</v>
      </c>
      <c r="B49" t="str">
        <f>[2]ssp2_popnum!B48</f>
        <v xml:space="preserve">Cuba                                            </v>
      </c>
      <c r="C49">
        <f>[2]ssp2_popnum!C48</f>
        <v>4</v>
      </c>
      <c r="D49" s="1">
        <f>[2]ssp2_popnum!O48</f>
        <v>11333.050999999999</v>
      </c>
      <c r="E49" s="1">
        <f>[2]ssp2_popnum!T48</f>
        <v>14540.562535610767</v>
      </c>
      <c r="F49" s="1">
        <f>[2]ssp2_popnum!Y48</f>
        <v>13586.502766279646</v>
      </c>
    </row>
    <row r="50" spans="1:6">
      <c r="A50">
        <f>[2]ssp2_popnum!A49</f>
        <v>196</v>
      </c>
      <c r="B50" t="str">
        <f>[2]ssp2_popnum!B49</f>
        <v xml:space="preserve">Cyprus                                          </v>
      </c>
      <c r="C50">
        <f>[2]ssp2_popnum!C49</f>
        <v>12</v>
      </c>
      <c r="D50" s="1">
        <f>[2]ssp2_popnum!O49</f>
        <v>1112.607</v>
      </c>
      <c r="E50" s="1">
        <f>[2]ssp2_popnum!T49</f>
        <v>1023.2355702229185</v>
      </c>
      <c r="F50" s="1">
        <f>[2]ssp2_popnum!Y49</f>
        <v>787.84123081576104</v>
      </c>
    </row>
    <row r="51" spans="1:6">
      <c r="A51">
        <f>[2]ssp2_popnum!A50</f>
        <v>203</v>
      </c>
      <c r="B51" t="str">
        <f>[2]ssp2_popnum!B50</f>
        <v xml:space="preserve">Czech Republic                          </v>
      </c>
      <c r="C51">
        <f>[2]ssp2_popnum!C50</f>
        <v>12</v>
      </c>
      <c r="D51" s="1">
        <f>[2]ssp2_popnum!O50</f>
        <v>10536.286</v>
      </c>
      <c r="E51" s="1">
        <f>[2]ssp2_popnum!T50</f>
        <v>9689.9467765722784</v>
      </c>
      <c r="F51" s="1">
        <f>[2]ssp2_popnum!Y50</f>
        <v>7460.784023888823</v>
      </c>
    </row>
    <row r="52" spans="1:6">
      <c r="A52">
        <f>[2]ssp2_popnum!A51</f>
        <v>204</v>
      </c>
      <c r="B52" t="str">
        <f>[2]ssp2_popnum!B51</f>
        <v xml:space="preserve">Benin                                           </v>
      </c>
      <c r="C52">
        <f>[2]ssp2_popnum!C51</f>
        <v>8</v>
      </c>
      <c r="D52" s="1">
        <f>[2]ssp2_popnum!O51</f>
        <v>9199.259</v>
      </c>
      <c r="E52" s="1">
        <f>[2]ssp2_popnum!T51</f>
        <v>20497.207239770352</v>
      </c>
      <c r="F52" s="1">
        <f>[2]ssp2_popnum!Y51</f>
        <v>29057.712028545178</v>
      </c>
    </row>
    <row r="53" spans="1:6">
      <c r="A53">
        <f>[2]ssp2_popnum!A52</f>
        <v>208</v>
      </c>
      <c r="B53" t="str">
        <f>[2]ssp2_popnum!B52</f>
        <v xml:space="preserve">Denmark                                          </v>
      </c>
      <c r="C53">
        <f>[2]ssp2_popnum!C52</f>
        <v>11</v>
      </c>
      <c r="D53" s="1">
        <f>[2]ssp2_popnum!O52</f>
        <v>5554.8440000000001</v>
      </c>
      <c r="E53" s="1">
        <f>[2]ssp2_popnum!T52</f>
        <v>6171.5919714710417</v>
      </c>
      <c r="F53" s="1">
        <f>[2]ssp2_popnum!Y52</f>
        <v>6053.7960184464628</v>
      </c>
    </row>
    <row r="54" spans="1:6">
      <c r="A54">
        <f>[2]ssp2_popnum!A53</f>
        <v>212</v>
      </c>
      <c r="B54" t="str">
        <f>[2]ssp2_popnum!B53</f>
        <v xml:space="preserve">Dominica                                    </v>
      </c>
      <c r="C54">
        <f>[2]ssp2_popnum!C53</f>
        <v>4</v>
      </c>
      <c r="D54" s="1">
        <f>[2]ssp2_popnum!O53</f>
        <v>71.44</v>
      </c>
      <c r="E54" s="1">
        <f>[2]ssp2_popnum!T53</f>
        <v>91.659146997929611</v>
      </c>
      <c r="F54" s="1">
        <f>[2]ssp2_popnum!Y53</f>
        <v>85.6450533596838</v>
      </c>
    </row>
    <row r="55" spans="1:6">
      <c r="A55">
        <f>[2]ssp2_popnum!A54</f>
        <v>214</v>
      </c>
      <c r="B55" t="str">
        <f>[2]ssp2_popnum!B54</f>
        <v xml:space="preserve">Dominican Republic                      </v>
      </c>
      <c r="C55">
        <f>[2]ssp2_popnum!C54</f>
        <v>4</v>
      </c>
      <c r="D55" s="1">
        <f>[2]ssp2_popnum!O54</f>
        <v>9897.9850000000006</v>
      </c>
      <c r="E55" s="1">
        <f>[2]ssp2_popnum!T54</f>
        <v>12699.340174948242</v>
      </c>
      <c r="F55" s="1">
        <f>[2]ssp2_popnum!Y54</f>
        <v>11866.089774333006</v>
      </c>
    </row>
    <row r="56" spans="1:6">
      <c r="A56">
        <f>[2]ssp2_popnum!A55</f>
        <v>218</v>
      </c>
      <c r="B56" t="str">
        <f>[2]ssp2_popnum!B55</f>
        <v xml:space="preserve">Ecuador                                         </v>
      </c>
      <c r="C56">
        <f>[2]ssp2_popnum!C55</f>
        <v>6</v>
      </c>
      <c r="D56" s="1">
        <f>[2]ssp2_popnum!O55</f>
        <v>14934.69</v>
      </c>
      <c r="E56" s="1">
        <f>[2]ssp2_popnum!T55</f>
        <v>19608.669194705872</v>
      </c>
      <c r="F56" s="1">
        <f>[2]ssp2_popnum!Y55</f>
        <v>18345.1753388787</v>
      </c>
    </row>
    <row r="57" spans="1:6">
      <c r="A57">
        <f>[2]ssp2_popnum!A56</f>
        <v>222</v>
      </c>
      <c r="B57" t="str">
        <f>[2]ssp2_popnum!B56</f>
        <v xml:space="preserve">El Salvador                                     </v>
      </c>
      <c r="C57">
        <f>[2]ssp2_popnum!C56</f>
        <v>4</v>
      </c>
      <c r="D57" s="1">
        <f>[2]ssp2_popnum!O56</f>
        <v>6164.6260000000002</v>
      </c>
      <c r="E57" s="1">
        <f>[2]ssp2_popnum!T56</f>
        <v>7909.3555532091113</v>
      </c>
      <c r="F57" s="1">
        <f>[2]ssp2_popnum!Y56</f>
        <v>7390.39365499012</v>
      </c>
    </row>
    <row r="58" spans="1:6">
      <c r="A58">
        <f>[2]ssp2_popnum!A57</f>
        <v>226</v>
      </c>
      <c r="B58" t="str">
        <f>[2]ssp2_popnum!B57</f>
        <v xml:space="preserve">Equatorial Guinea                               </v>
      </c>
      <c r="C58">
        <f>[2]ssp2_popnum!C57</f>
        <v>8</v>
      </c>
      <c r="D58" s="1">
        <f>[2]ssp2_popnum!O57</f>
        <v>951.10400000000004</v>
      </c>
      <c r="E58" s="1">
        <f>[2]ssp2_popnum!T57</f>
        <v>2119.1897950231146</v>
      </c>
      <c r="F58" s="1">
        <f>[2]ssp2_popnum!Y57</f>
        <v>3004.2535101139597</v>
      </c>
    </row>
    <row r="59" spans="1:6">
      <c r="A59">
        <f>[2]ssp2_popnum!A58</f>
        <v>231</v>
      </c>
      <c r="B59" t="str">
        <f>[2]ssp2_popnum!B58</f>
        <v>Ethiopia</v>
      </c>
      <c r="C59">
        <f>[2]ssp2_popnum!C58</f>
        <v>9</v>
      </c>
      <c r="D59" s="1">
        <f>[2]ssp2_popnum!O58</f>
        <v>87702.67</v>
      </c>
      <c r="E59" s="1">
        <f>[2]ssp2_popnum!T58</f>
        <v>185349.85882233639</v>
      </c>
      <c r="F59" s="1">
        <f>[2]ssp2_popnum!Y58</f>
        <v>246655.64397416913</v>
      </c>
    </row>
    <row r="60" spans="1:6">
      <c r="A60">
        <f>[2]ssp2_popnum!A59</f>
        <v>232</v>
      </c>
      <c r="B60" t="str">
        <f>[2]ssp2_popnum!B59</f>
        <v xml:space="preserve">Eritrea                                 </v>
      </c>
      <c r="C60">
        <f>[2]ssp2_popnum!C59</f>
        <v>9</v>
      </c>
      <c r="D60" s="1">
        <f>[2]ssp2_popnum!O59</f>
        <v>4390.84</v>
      </c>
      <c r="E60" s="1">
        <f>[2]ssp2_popnum!T59</f>
        <v>9279.5529954956619</v>
      </c>
      <c r="F60" s="1">
        <f>[2]ssp2_popnum!Y59</f>
        <v>12348.831201918263</v>
      </c>
    </row>
    <row r="61" spans="1:6">
      <c r="A61">
        <f>[2]ssp2_popnum!A60</f>
        <v>233</v>
      </c>
      <c r="B61" t="str">
        <f>[2]ssp2_popnum!B60</f>
        <v xml:space="preserve">Estonia                                         </v>
      </c>
      <c r="C61">
        <f>[2]ssp2_popnum!C60</f>
        <v>12</v>
      </c>
      <c r="D61" s="1">
        <f>[2]ssp2_popnum!O60</f>
        <v>1332.1020000000001</v>
      </c>
      <c r="E61" s="1">
        <f>[2]ssp2_popnum!T60</f>
        <v>1225.0993833088326</v>
      </c>
      <c r="F61" s="1">
        <f>[2]ssp2_popnum!Y60</f>
        <v>943.26647167610577</v>
      </c>
    </row>
    <row r="62" spans="1:6">
      <c r="A62">
        <f>[2]ssp2_popnum!A61</f>
        <v>234</v>
      </c>
      <c r="B62" t="str">
        <f>[2]ssp2_popnum!B61</f>
        <v>Faroe Islands</v>
      </c>
      <c r="C62">
        <f>[2]ssp2_popnum!C61</f>
        <v>11</v>
      </c>
      <c r="D62" s="1">
        <f>[2]ssp2_popnum!O61</f>
        <v>48.55</v>
      </c>
      <c r="E62" s="1">
        <f>[2]ssp2_popnum!T61</f>
        <v>53.940450931640754</v>
      </c>
      <c r="F62" s="1">
        <f>[2]ssp2_popnum!Y61</f>
        <v>52.910900233305512</v>
      </c>
    </row>
    <row r="63" spans="1:6">
      <c r="A63">
        <f>[2]ssp2_popnum!A62</f>
        <v>238</v>
      </c>
      <c r="B63" t="str">
        <f>[2]ssp2_popnum!B62</f>
        <v>Falklands Islands (Malvinas)</v>
      </c>
      <c r="C63">
        <f>[2]ssp2_popnum!C62</f>
        <v>6</v>
      </c>
      <c r="D63" s="1">
        <f>[2]ssp2_popnum!O62</f>
        <v>2.8519999999999999</v>
      </c>
      <c r="E63" s="1">
        <f>[2]ssp2_popnum!T62</f>
        <v>3.7445654742951575</v>
      </c>
      <c r="F63" s="1">
        <f>[2]ssp2_popnum!Y62</f>
        <v>3.5032826303379609</v>
      </c>
    </row>
    <row r="64" spans="1:6">
      <c r="A64">
        <f>[2]ssp2_popnum!A63</f>
        <v>242</v>
      </c>
      <c r="B64" t="str">
        <f>[2]ssp2_popnum!B63</f>
        <v xml:space="preserve">Fiji                                            </v>
      </c>
      <c r="C64">
        <f>[2]ssp2_popnum!C63</f>
        <v>24</v>
      </c>
      <c r="D64" s="1">
        <f>[2]ssp2_popnum!O63</f>
        <v>859.95</v>
      </c>
      <c r="E64" s="1">
        <f>[2]ssp2_popnum!T63</f>
        <v>1332.103236495411</v>
      </c>
      <c r="F64" s="1">
        <f>[2]ssp2_popnum!Y63</f>
        <v>1541.1665847190707</v>
      </c>
    </row>
    <row r="65" spans="1:6">
      <c r="A65">
        <f>[2]ssp2_popnum!A64</f>
        <v>246</v>
      </c>
      <c r="B65" t="str">
        <f>[2]ssp2_popnum!B64</f>
        <v xml:space="preserve">Finland                                         </v>
      </c>
      <c r="C65">
        <f>[2]ssp2_popnum!C64</f>
        <v>11</v>
      </c>
      <c r="D65" s="1">
        <f>[2]ssp2_popnum!O64</f>
        <v>5365.7820000000002</v>
      </c>
      <c r="E65" s="1">
        <f>[2]ssp2_popnum!T64</f>
        <v>5961.5386340037321</v>
      </c>
      <c r="F65" s="1">
        <f>[2]ssp2_popnum!Y64</f>
        <v>5847.7519274081678</v>
      </c>
    </row>
    <row r="66" spans="1:6">
      <c r="A66">
        <f>[2]ssp2_popnum!A65</f>
        <v>250</v>
      </c>
      <c r="B66" t="str">
        <f>[2]ssp2_popnum!B65</f>
        <v>France</v>
      </c>
      <c r="C66">
        <f>[2]ssp2_popnum!C65</f>
        <v>11</v>
      </c>
      <c r="D66" s="1">
        <f>[2]ssp2_popnum!O65</f>
        <v>63026.74</v>
      </c>
      <c r="E66" s="1">
        <f>[2]ssp2_popnum!T65</f>
        <v>70024.526804351786</v>
      </c>
      <c r="F66" s="1">
        <f>[2]ssp2_popnum!Y65</f>
        <v>68687.982536982207</v>
      </c>
    </row>
    <row r="67" spans="1:6">
      <c r="A67">
        <f>[2]ssp2_popnum!A66</f>
        <v>254</v>
      </c>
      <c r="B67" t="str">
        <f>[2]ssp2_popnum!B66</f>
        <v xml:space="preserve">French Guiana                           </v>
      </c>
      <c r="C67">
        <f>[2]ssp2_popnum!C66</f>
        <v>6</v>
      </c>
      <c r="D67" s="1">
        <f>[2]ssp2_popnum!O66</f>
        <v>234.18100000000001</v>
      </c>
      <c r="E67" s="1">
        <f>[2]ssp2_popnum!T66</f>
        <v>307.47057760726312</v>
      </c>
      <c r="F67" s="1">
        <f>[2]ssp2_popnum!Y66</f>
        <v>287.65856579774692</v>
      </c>
    </row>
    <row r="68" spans="1:6">
      <c r="A68">
        <f>[2]ssp2_popnum!A67</f>
        <v>262</v>
      </c>
      <c r="B68" t="str">
        <f>[2]ssp2_popnum!B67</f>
        <v xml:space="preserve">Djibouti                                        </v>
      </c>
      <c r="C68">
        <f>[2]ssp2_popnum!C67</f>
        <v>9</v>
      </c>
      <c r="D68" s="1">
        <f>[2]ssp2_popnum!O67</f>
        <v>851.14599999999996</v>
      </c>
      <c r="E68" s="1">
        <f>[2]ssp2_popnum!T67</f>
        <v>1798.8026013027463</v>
      </c>
      <c r="F68" s="1">
        <f>[2]ssp2_popnum!Y67</f>
        <v>2393.7693658133571</v>
      </c>
    </row>
    <row r="69" spans="1:6">
      <c r="A69">
        <f>[2]ssp2_popnum!A68</f>
        <v>266</v>
      </c>
      <c r="B69" t="str">
        <f>[2]ssp2_popnum!B68</f>
        <v>Gabon</v>
      </c>
      <c r="C69">
        <f>[2]ssp2_popnum!C68</f>
        <v>8</v>
      </c>
      <c r="D69" s="1">
        <f>[2]ssp2_popnum!O68</f>
        <v>1640.21</v>
      </c>
      <c r="E69" s="1">
        <f>[2]ssp2_popnum!T68</f>
        <v>3654.6122124340372</v>
      </c>
      <c r="F69" s="1">
        <f>[2]ssp2_popnum!Y68</f>
        <v>5180.9335780566771</v>
      </c>
    </row>
    <row r="70" spans="1:6">
      <c r="A70">
        <f>[2]ssp2_popnum!A69</f>
        <v>268</v>
      </c>
      <c r="B70" t="str">
        <f>[2]ssp2_popnum!B69</f>
        <v xml:space="preserve">Georgia                                 </v>
      </c>
      <c r="C70">
        <f>[2]ssp2_popnum!C69</f>
        <v>16</v>
      </c>
      <c r="D70" s="1">
        <f>[2]ssp2_popnum!O69</f>
        <v>4231.6610000000001</v>
      </c>
      <c r="E70" s="1">
        <f>[2]ssp2_popnum!T69</f>
        <v>4095.3669548221856</v>
      </c>
      <c r="F70" s="1">
        <f>[2]ssp2_popnum!Y69</f>
        <v>3622.2587808085627</v>
      </c>
    </row>
    <row r="71" spans="1:6">
      <c r="A71">
        <f>[2]ssp2_popnum!A70</f>
        <v>270</v>
      </c>
      <c r="B71" t="str">
        <f>[2]ssp2_popnum!B70</f>
        <v xml:space="preserve">Gambia                                      </v>
      </c>
      <c r="C71">
        <f>[2]ssp2_popnum!C70</f>
        <v>8</v>
      </c>
      <c r="D71" s="1">
        <f>[2]ssp2_popnum!O70</f>
        <v>1692.1489999999999</v>
      </c>
      <c r="E71" s="1">
        <f>[2]ssp2_popnum!T70</f>
        <v>3770.3394081599567</v>
      </c>
      <c r="F71" s="1">
        <f>[2]ssp2_popnum!Y70</f>
        <v>5344.9933686387885</v>
      </c>
    </row>
    <row r="72" spans="1:6">
      <c r="A72">
        <f>[2]ssp2_popnum!A71</f>
        <v>276</v>
      </c>
      <c r="B72" t="str">
        <f>[2]ssp2_popnum!B71</f>
        <v xml:space="preserve">Germany                                 </v>
      </c>
      <c r="C72">
        <f>[2]ssp2_popnum!C71</f>
        <v>11</v>
      </c>
      <c r="D72" s="1">
        <f>[2]ssp2_popnum!O71</f>
        <v>80894.785000000003</v>
      </c>
      <c r="E72" s="1">
        <f>[2]ssp2_popnum!T71</f>
        <v>89876.440389662792</v>
      </c>
      <c r="F72" s="1">
        <f>[2]ssp2_popnum!Y71</f>
        <v>88160.986581456222</v>
      </c>
    </row>
    <row r="73" spans="1:6">
      <c r="A73">
        <f>[2]ssp2_popnum!A72</f>
        <v>288</v>
      </c>
      <c r="B73" t="str">
        <f>[2]ssp2_popnum!B72</f>
        <v xml:space="preserve">Ghana                                           </v>
      </c>
      <c r="C73">
        <f>[2]ssp2_popnum!C72</f>
        <v>8</v>
      </c>
      <c r="D73" s="1">
        <f>[2]ssp2_popnum!O72</f>
        <v>24512.103999999999</v>
      </c>
      <c r="E73" s="1">
        <f>[2]ssp2_popnum!T72</f>
        <v>54616.32024609849</v>
      </c>
      <c r="F73" s="1">
        <f>[2]ssp2_popnum!Y72</f>
        <v>77426.416545696819</v>
      </c>
    </row>
    <row r="74" spans="1:6">
      <c r="A74">
        <f>[2]ssp2_popnum!A73</f>
        <v>300</v>
      </c>
      <c r="B74" t="str">
        <f>[2]ssp2_popnum!B73</f>
        <v>Greece</v>
      </c>
      <c r="C74">
        <f>[2]ssp2_popnum!C73</f>
        <v>11</v>
      </c>
      <c r="D74" s="1">
        <f>[2]ssp2_popnum!O73</f>
        <v>11446.004999999999</v>
      </c>
      <c r="E74" s="1">
        <f>[2]ssp2_popnum!T73</f>
        <v>12716.841834517296</v>
      </c>
      <c r="F74" s="1">
        <f>[2]ssp2_popnum!Y73</f>
        <v>12474.117994334007</v>
      </c>
    </row>
    <row r="75" spans="1:6">
      <c r="A75">
        <f>[2]ssp2_popnum!A74</f>
        <v>304</v>
      </c>
      <c r="B75" t="str">
        <f>[2]ssp2_popnum!B74</f>
        <v xml:space="preserve">Greenland                               </v>
      </c>
      <c r="C75">
        <f>[2]ssp2_popnum!C74</f>
        <v>27</v>
      </c>
      <c r="D75" s="1">
        <f>[2]ssp2_popnum!O74</f>
        <v>56.637999999999998</v>
      </c>
      <c r="E75" s="1">
        <f>[2]ssp2_popnum!T74</f>
        <v>56.637999999999998</v>
      </c>
      <c r="F75" s="1">
        <f>[2]ssp2_popnum!Y74</f>
        <v>56.637999999999998</v>
      </c>
    </row>
    <row r="76" spans="1:6">
      <c r="A76">
        <f>[2]ssp2_popnum!A75</f>
        <v>308</v>
      </c>
      <c r="B76" t="str">
        <f>[2]ssp2_popnum!B75</f>
        <v xml:space="preserve">Grenada                                 </v>
      </c>
      <c r="C76">
        <f>[2]ssp2_popnum!C75</f>
        <v>4</v>
      </c>
      <c r="D76" s="1">
        <f>[2]ssp2_popnum!O75</f>
        <v>104.67700000000001</v>
      </c>
      <c r="E76" s="1">
        <f>[2]ssp2_popnum!T75</f>
        <v>134.30297494824018</v>
      </c>
      <c r="F76" s="1">
        <f>[2]ssp2_popnum!Y75</f>
        <v>125.49086296936761</v>
      </c>
    </row>
    <row r="77" spans="1:6">
      <c r="A77">
        <f>[2]ssp2_popnum!A76</f>
        <v>312</v>
      </c>
      <c r="B77" t="str">
        <f>[2]ssp2_popnum!B76</f>
        <v xml:space="preserve">Guadeloupe                              </v>
      </c>
      <c r="C77">
        <f>[2]ssp2_popnum!C76</f>
        <v>4</v>
      </c>
      <c r="D77" s="1">
        <f>[2]ssp2_popnum!O76</f>
        <v>450.71800000000002</v>
      </c>
      <c r="E77" s="1">
        <f>[2]ssp2_popnum!T76</f>
        <v>578.2814587991719</v>
      </c>
      <c r="F77" s="1">
        <f>[2]ssp2_popnum!Y76</f>
        <v>540.3382861166009</v>
      </c>
    </row>
    <row r="78" spans="1:6">
      <c r="A78">
        <f>[2]ssp2_popnum!A77</f>
        <v>320</v>
      </c>
      <c r="B78" t="str">
        <f>[2]ssp2_popnum!B77</f>
        <v xml:space="preserve">Guatemala                                       </v>
      </c>
      <c r="C78">
        <f>[2]ssp2_popnum!C77</f>
        <v>4</v>
      </c>
      <c r="D78" s="1">
        <f>[2]ssp2_popnum!O77</f>
        <v>14630.416999999999</v>
      </c>
      <c r="E78" s="1">
        <f>[2]ssp2_popnum!T77</f>
        <v>18771.158208902692</v>
      </c>
      <c r="F78" s="1">
        <f>[2]ssp2_popnum!Y77</f>
        <v>17539.513502791502</v>
      </c>
    </row>
    <row r="79" spans="1:6">
      <c r="A79">
        <f>[2]ssp2_popnum!A78</f>
        <v>324</v>
      </c>
      <c r="B79" t="str">
        <f>[2]ssp2_popnum!B78</f>
        <v xml:space="preserve">Guinea                                          </v>
      </c>
      <c r="C79">
        <f>[2]ssp2_popnum!C78</f>
        <v>8</v>
      </c>
      <c r="D79" s="1">
        <f>[2]ssp2_popnum!O78</f>
        <v>10794.17</v>
      </c>
      <c r="E79" s="1">
        <f>[2]ssp2_popnum!T78</f>
        <v>24050.88708463496</v>
      </c>
      <c r="F79" s="1">
        <f>[2]ssp2_popnum!Y78</f>
        <v>34095.55959313261</v>
      </c>
    </row>
    <row r="80" spans="1:6">
      <c r="A80">
        <f>[2]ssp2_popnum!A79</f>
        <v>328</v>
      </c>
      <c r="B80" t="str">
        <f>[2]ssp2_popnum!B79</f>
        <v xml:space="preserve">Guyana                                          </v>
      </c>
      <c r="C80">
        <f>[2]ssp2_popnum!C79</f>
        <v>6</v>
      </c>
      <c r="D80" s="1">
        <f>[2]ssp2_popnum!O79</f>
        <v>746.55600000000004</v>
      </c>
      <c r="E80" s="1">
        <f>[2]ssp2_popnum!T79</f>
        <v>980.19909615283871</v>
      </c>
      <c r="F80" s="1">
        <f>[2]ssp2_popnum!Y79</f>
        <v>917.03950468954667</v>
      </c>
    </row>
    <row r="81" spans="1:6">
      <c r="A81">
        <f>[2]ssp2_popnum!A80</f>
        <v>332</v>
      </c>
      <c r="B81" t="str">
        <f>[2]ssp2_popnum!B80</f>
        <v xml:space="preserve">Haiti                                           </v>
      </c>
      <c r="C81">
        <f>[2]ssp2_popnum!C80</f>
        <v>4</v>
      </c>
      <c r="D81" s="1">
        <f>[2]ssp2_popnum!O80</f>
        <v>9999.6170000000002</v>
      </c>
      <c r="E81" s="1">
        <f>[2]ssp2_popnum!T80</f>
        <v>12829.736345548656</v>
      </c>
      <c r="F81" s="1">
        <f>[2]ssp2_popnum!Y80</f>
        <v>11987.930172751978</v>
      </c>
    </row>
    <row r="82" spans="1:6">
      <c r="A82">
        <f>[2]ssp2_popnum!A81</f>
        <v>340</v>
      </c>
      <c r="B82" t="str">
        <f>[2]ssp2_popnum!B81</f>
        <v xml:space="preserve">Honduras                                        </v>
      </c>
      <c r="C82">
        <f>[2]ssp2_popnum!C81</f>
        <v>4</v>
      </c>
      <c r="D82" s="1">
        <f>[2]ssp2_popnum!O81</f>
        <v>8194.7780000000002</v>
      </c>
      <c r="E82" s="1">
        <f>[2]ssp2_popnum!T81</f>
        <v>10514.086804554867</v>
      </c>
      <c r="F82" s="1">
        <f>[2]ssp2_popnum!Y81</f>
        <v>9824.218912104745</v>
      </c>
    </row>
    <row r="83" spans="1:6">
      <c r="A83">
        <f>[2]ssp2_popnum!A82</f>
        <v>344</v>
      </c>
      <c r="B83" t="str">
        <f>[2]ssp2_popnum!B82</f>
        <v xml:space="preserve">Hong Kong                               </v>
      </c>
      <c r="C83">
        <f>[2]ssp2_popnum!C82</f>
        <v>20</v>
      </c>
      <c r="D83" s="1">
        <f>[2]ssp2_popnum!O82</f>
        <v>7025.2209999999995</v>
      </c>
      <c r="E83" s="1">
        <f>[2]ssp2_popnum!T82</f>
        <v>6706.4584779618872</v>
      </c>
      <c r="F83" s="1">
        <f>[2]ssp2_popnum!Y82</f>
        <v>4097.1230956617164</v>
      </c>
    </row>
    <row r="84" spans="1:6">
      <c r="A84">
        <f>[2]ssp2_popnum!A83</f>
        <v>348</v>
      </c>
      <c r="B84" t="str">
        <f>[2]ssp2_popnum!B83</f>
        <v xml:space="preserve">Hungary                                         </v>
      </c>
      <c r="C84">
        <f>[2]ssp2_popnum!C83</f>
        <v>12</v>
      </c>
      <c r="D84" s="1">
        <f>[2]ssp2_popnum!O83</f>
        <v>9927.84</v>
      </c>
      <c r="E84" s="1">
        <f>[2]ssp2_popnum!T83</f>
        <v>9130.3748974093269</v>
      </c>
      <c r="F84" s="1">
        <f>[2]ssp2_popnum!Y83</f>
        <v>7029.9411067357523</v>
      </c>
    </row>
    <row r="85" spans="1:6">
      <c r="A85">
        <f>[2]ssp2_popnum!A84</f>
        <v>352</v>
      </c>
      <c r="B85" t="str">
        <f>[2]ssp2_popnum!B84</f>
        <v xml:space="preserve">Iceland                                         </v>
      </c>
      <c r="C85">
        <f>[2]ssp2_popnum!C84</f>
        <v>11</v>
      </c>
      <c r="D85" s="1">
        <f>[2]ssp2_popnum!O84</f>
        <v>320.32799999999997</v>
      </c>
      <c r="E85" s="1">
        <f>[2]ssp2_popnum!T84</f>
        <v>355.89365120557403</v>
      </c>
      <c r="F85" s="1">
        <f>[2]ssp2_popnum!Y84</f>
        <v>349.1007796072974</v>
      </c>
    </row>
    <row r="86" spans="1:6">
      <c r="A86">
        <f>[2]ssp2_popnum!A85</f>
        <v>356</v>
      </c>
      <c r="B86" t="str">
        <f>[2]ssp2_popnum!B85</f>
        <v xml:space="preserve">India                                           </v>
      </c>
      <c r="C86">
        <f>[2]ssp2_popnum!C85</f>
        <v>18</v>
      </c>
      <c r="D86" s="1">
        <f>[2]ssp2_popnum!O85</f>
        <v>1230980.6910000001</v>
      </c>
      <c r="E86" s="1">
        <f>[2]ssp2_popnum!T85</f>
        <v>1735280.5644109626</v>
      </c>
      <c r="F86" s="1">
        <f>[2]ssp2_popnum!Y85</f>
        <v>1604309.5972872125</v>
      </c>
    </row>
    <row r="87" spans="1:6">
      <c r="A87">
        <f>[2]ssp2_popnum!A86</f>
        <v>360</v>
      </c>
      <c r="B87" t="str">
        <f>[2]ssp2_popnum!B86</f>
        <v xml:space="preserve">Indonesia                                       </v>
      </c>
      <c r="C87">
        <f>[2]ssp2_popnum!C86</f>
        <v>22</v>
      </c>
      <c r="D87" s="1">
        <f>[2]ssp2_popnum!O86</f>
        <v>242524.12299999999</v>
      </c>
      <c r="E87" s="1">
        <f>[2]ssp2_popnum!T86</f>
        <v>299114.18609678966</v>
      </c>
      <c r="F87" s="1">
        <f>[2]ssp2_popnum!Y86</f>
        <v>240458.65749278135</v>
      </c>
    </row>
    <row r="88" spans="1:6">
      <c r="A88">
        <f>[2]ssp2_popnum!A87</f>
        <v>364</v>
      </c>
      <c r="B88" t="str">
        <f>[2]ssp2_popnum!B87</f>
        <v>Iran</v>
      </c>
      <c r="C88">
        <f>[2]ssp2_popnum!C87</f>
        <v>17</v>
      </c>
      <c r="D88" s="1">
        <f>[2]ssp2_popnum!O87</f>
        <v>74567.510999999999</v>
      </c>
      <c r="E88" s="1">
        <f>[2]ssp2_popnum!T87</f>
        <v>130744.90369690162</v>
      </c>
      <c r="F88" s="1">
        <f>[2]ssp2_popnum!Y87</f>
        <v>146208.57101117549</v>
      </c>
    </row>
    <row r="89" spans="1:6">
      <c r="A89">
        <f>[2]ssp2_popnum!A88</f>
        <v>368</v>
      </c>
      <c r="B89" t="str">
        <f>[2]ssp2_popnum!B88</f>
        <v xml:space="preserve">Iraq                                            </v>
      </c>
      <c r="C89">
        <f>[2]ssp2_popnum!C88</f>
        <v>17</v>
      </c>
      <c r="D89" s="1">
        <f>[2]ssp2_popnum!O88</f>
        <v>30762.701000000001</v>
      </c>
      <c r="E89" s="1">
        <f>[2]ssp2_popnum!T88</f>
        <v>53938.589685547893</v>
      </c>
      <c r="F89" s="1">
        <f>[2]ssp2_popnum!Y88</f>
        <v>60318.09957628946</v>
      </c>
    </row>
    <row r="90" spans="1:6">
      <c r="A90">
        <f>[2]ssp2_popnum!A89</f>
        <v>372</v>
      </c>
      <c r="B90" t="str">
        <f>[2]ssp2_popnum!B89</f>
        <v xml:space="preserve">Ireland                                 </v>
      </c>
      <c r="C90">
        <f>[2]ssp2_popnum!C89</f>
        <v>11</v>
      </c>
      <c r="D90" s="1">
        <f>[2]ssp2_popnum!O89</f>
        <v>4626.9279999999999</v>
      </c>
      <c r="E90" s="1">
        <f>[2]ssp2_popnum!T89</f>
        <v>5140.6505200460288</v>
      </c>
      <c r="F90" s="1">
        <f>[2]ssp2_popnum!Y89</f>
        <v>5042.531942218081</v>
      </c>
    </row>
    <row r="91" spans="1:6">
      <c r="A91">
        <f>[2]ssp2_popnum!A90</f>
        <v>376</v>
      </c>
      <c r="B91" t="str">
        <f>[2]ssp2_popnum!B90</f>
        <v xml:space="preserve">Israel                                             </v>
      </c>
      <c r="C91">
        <f>[2]ssp2_popnum!C90</f>
        <v>17</v>
      </c>
      <c r="D91" s="1">
        <f>[2]ssp2_popnum!O90</f>
        <v>7425.9589999999998</v>
      </c>
      <c r="E91" s="1">
        <f>[2]ssp2_popnum!T90</f>
        <v>13020.50023249589</v>
      </c>
      <c r="F91" s="1">
        <f>[2]ssp2_popnum!Y90</f>
        <v>14560.481357324343</v>
      </c>
    </row>
    <row r="92" spans="1:6">
      <c r="A92">
        <f>[2]ssp2_popnum!A91</f>
        <v>380</v>
      </c>
      <c r="B92" t="str">
        <f>[2]ssp2_popnum!B91</f>
        <v>Italy</v>
      </c>
      <c r="C92">
        <f>[2]ssp2_popnum!C91</f>
        <v>11</v>
      </c>
      <c r="D92" s="1">
        <f>[2]ssp2_popnum!O91</f>
        <v>59729.807000000001</v>
      </c>
      <c r="E92" s="1">
        <f>[2]ssp2_popnum!T91</f>
        <v>66361.539106897471</v>
      </c>
      <c r="F92" s="1">
        <f>[2]ssp2_popnum!Y91</f>
        <v>65094.909559868043</v>
      </c>
    </row>
    <row r="93" spans="1:6">
      <c r="A93">
        <f>[2]ssp2_popnum!A92</f>
        <v>384</v>
      </c>
      <c r="B93" t="str">
        <f>[2]ssp2_popnum!B92</f>
        <v xml:space="preserve">Cote d'Ivoire                                    </v>
      </c>
      <c r="C93">
        <f>[2]ssp2_popnum!C92</f>
        <v>8</v>
      </c>
      <c r="D93" s="1">
        <f>[2]ssp2_popnum!O92</f>
        <v>20401.330999999998</v>
      </c>
      <c r="E93" s="1">
        <f>[2]ssp2_popnum!T92</f>
        <v>45456.955769388733</v>
      </c>
      <c r="F93" s="1">
        <f>[2]ssp2_popnum!Y92</f>
        <v>64441.712228890559</v>
      </c>
    </row>
    <row r="94" spans="1:6">
      <c r="A94">
        <f>[2]ssp2_popnum!A93</f>
        <v>388</v>
      </c>
      <c r="B94" t="str">
        <f>[2]ssp2_popnum!B93</f>
        <v xml:space="preserve">Jamaica                                 </v>
      </c>
      <c r="C94">
        <f>[2]ssp2_popnum!C93</f>
        <v>4</v>
      </c>
      <c r="D94" s="1">
        <f>[2]ssp2_popnum!O93</f>
        <v>2817.21</v>
      </c>
      <c r="E94" s="1">
        <f>[2]ssp2_popnum!T93</f>
        <v>3614.5445900621121</v>
      </c>
      <c r="F94" s="1">
        <f>[2]ssp2_popnum!Y93</f>
        <v>3377.3810298913049</v>
      </c>
    </row>
    <row r="95" spans="1:6">
      <c r="A95">
        <f>[2]ssp2_popnum!A94</f>
        <v>392</v>
      </c>
      <c r="B95" t="str">
        <f>[2]ssp2_popnum!B94</f>
        <v xml:space="preserve">Japan                                   </v>
      </c>
      <c r="C95">
        <f>[2]ssp2_popnum!C94</f>
        <v>23</v>
      </c>
      <c r="D95" s="1">
        <f>[2]ssp2_popnum!O94</f>
        <v>128551.87300000001</v>
      </c>
      <c r="E95" s="1">
        <f>[2]ssp2_popnum!T94</f>
        <v>110219.49111107414</v>
      </c>
      <c r="F95" s="1">
        <f>[2]ssp2_popnum!Y94</f>
        <v>76052.214865884394</v>
      </c>
    </row>
    <row r="96" spans="1:6">
      <c r="A96">
        <f>[2]ssp2_popnum!A95</f>
        <v>398</v>
      </c>
      <c r="B96" t="str">
        <f>[2]ssp2_popnum!B95</f>
        <v xml:space="preserve">Kazakstan                                      </v>
      </c>
      <c r="C96">
        <f>[2]ssp2_popnum!C95</f>
        <v>15</v>
      </c>
      <c r="D96" s="1">
        <f>[2]ssp2_popnum!O95</f>
        <v>16398.975999999999</v>
      </c>
      <c r="E96" s="1">
        <f>[2]ssp2_popnum!T95</f>
        <v>20790.884858531885</v>
      </c>
      <c r="F96" s="1">
        <f>[2]ssp2_popnum!Y95</f>
        <v>18313.519316871239</v>
      </c>
    </row>
    <row r="97" spans="1:6">
      <c r="A97">
        <f>[2]ssp2_popnum!A96</f>
        <v>400</v>
      </c>
      <c r="B97" t="str">
        <f>[2]ssp2_popnum!B96</f>
        <v xml:space="preserve">Jordan                                 </v>
      </c>
      <c r="C97">
        <f>[2]ssp2_popnum!C96</f>
        <v>17</v>
      </c>
      <c r="D97" s="1">
        <f>[2]ssp2_popnum!O96</f>
        <v>7182.39</v>
      </c>
      <c r="E97" s="1">
        <f>[2]ssp2_popnum!T96</f>
        <v>12593.432129759423</v>
      </c>
      <c r="F97" s="1">
        <f>[2]ssp2_popnum!Y96</f>
        <v>14082.902382848166</v>
      </c>
    </row>
    <row r="98" spans="1:6">
      <c r="A98">
        <f>[2]ssp2_popnum!A97</f>
        <v>404</v>
      </c>
      <c r="B98" t="str">
        <f>[2]ssp2_popnum!B97</f>
        <v xml:space="preserve">Kenya                                           </v>
      </c>
      <c r="C98">
        <f>[2]ssp2_popnum!C97</f>
        <v>9</v>
      </c>
      <c r="D98" s="1">
        <f>[2]ssp2_popnum!O97</f>
        <v>41350.152000000002</v>
      </c>
      <c r="E98" s="1">
        <f>[2]ssp2_popnum!T97</f>
        <v>87388.956749915946</v>
      </c>
      <c r="F98" s="1">
        <f>[2]ssp2_popnum!Y97</f>
        <v>116293.47624182682</v>
      </c>
    </row>
    <row r="99" spans="1:6">
      <c r="A99">
        <f>[2]ssp2_popnum!A98</f>
        <v>408</v>
      </c>
      <c r="B99" t="str">
        <f>[2]ssp2_popnum!B98</f>
        <v>Korea. Dem. People's Rep. of</v>
      </c>
      <c r="C99">
        <f>[2]ssp2_popnum!C98</f>
        <v>19</v>
      </c>
      <c r="D99" s="1">
        <f>[2]ssp2_popnum!O98</f>
        <v>24591.598999999998</v>
      </c>
      <c r="E99" s="1">
        <f>[2]ssp2_popnum!T98</f>
        <v>23752.632280484591</v>
      </c>
      <c r="F99" s="1">
        <f>[2]ssp2_popnum!Y98</f>
        <v>15452.094499306762</v>
      </c>
    </row>
    <row r="100" spans="1:6">
      <c r="A100">
        <f>[2]ssp2_popnum!A99</f>
        <v>410</v>
      </c>
      <c r="B100" t="str">
        <f>[2]ssp2_popnum!B99</f>
        <v>Korea. Republic of</v>
      </c>
      <c r="C100">
        <f>[2]ssp2_popnum!C99</f>
        <v>19</v>
      </c>
      <c r="D100" s="1">
        <f>[2]ssp2_popnum!O99</f>
        <v>49552.855000000003</v>
      </c>
      <c r="E100" s="1">
        <f>[2]ssp2_popnum!T99</f>
        <v>47862.310346845377</v>
      </c>
      <c r="F100" s="1">
        <f>[2]ssp2_popnum!Y99</f>
        <v>31136.462422408797</v>
      </c>
    </row>
    <row r="101" spans="1:6">
      <c r="A101">
        <f>[2]ssp2_popnum!A100</f>
        <v>414</v>
      </c>
      <c r="B101" t="str">
        <f>[2]ssp2_popnum!B100</f>
        <v xml:space="preserve">Kuwait                                             </v>
      </c>
      <c r="C101">
        <f>[2]ssp2_popnum!C100</f>
        <v>17</v>
      </c>
      <c r="D101" s="1">
        <f>[2]ssp2_popnum!O100</f>
        <v>2998.0830000000001</v>
      </c>
      <c r="E101" s="1">
        <f>[2]ssp2_popnum!T100</f>
        <v>5256.7675634274274</v>
      </c>
      <c r="F101" s="1">
        <f>[2]ssp2_popnum!Y100</f>
        <v>5878.5042617675426</v>
      </c>
    </row>
    <row r="102" spans="1:6">
      <c r="A102">
        <f>[2]ssp2_popnum!A101</f>
        <v>417</v>
      </c>
      <c r="B102" t="str">
        <f>[2]ssp2_popnum!B101</f>
        <v>Kyrgyzstan</v>
      </c>
      <c r="C102">
        <f>[2]ssp2_popnum!C101</f>
        <v>15</v>
      </c>
      <c r="D102" s="1">
        <f>[2]ssp2_popnum!O101</f>
        <v>5422.3370000000004</v>
      </c>
      <c r="E102" s="1">
        <f>[2]ssp2_popnum!T101</f>
        <v>6874.5258381472859</v>
      </c>
      <c r="F102" s="1">
        <f>[2]ssp2_popnum!Y101</f>
        <v>6055.3825673069869</v>
      </c>
    </row>
    <row r="103" spans="1:6">
      <c r="A103">
        <f>[2]ssp2_popnum!A102</f>
        <v>418</v>
      </c>
      <c r="B103" t="str">
        <f>[2]ssp2_popnum!B102</f>
        <v>Lao People's Dem. Rep.</v>
      </c>
      <c r="C103">
        <f>[2]ssp2_popnum!C102</f>
        <v>21</v>
      </c>
      <c r="D103" s="1">
        <f>[2]ssp2_popnum!O102</f>
        <v>6246.2740000000003</v>
      </c>
      <c r="E103" s="1">
        <f>[2]ssp2_popnum!T102</f>
        <v>8053.1734254754028</v>
      </c>
      <c r="F103" s="1">
        <f>[2]ssp2_popnum!Y102</f>
        <v>7203.5794619720691</v>
      </c>
    </row>
    <row r="104" spans="1:6">
      <c r="A104">
        <f>[2]ssp2_popnum!A103</f>
        <v>422</v>
      </c>
      <c r="B104" t="str">
        <f>[2]ssp2_popnum!B103</f>
        <v>Lebanon</v>
      </c>
      <c r="C104">
        <f>[2]ssp2_popnum!C103</f>
        <v>17</v>
      </c>
      <c r="D104" s="1">
        <f>[2]ssp2_popnum!O103</f>
        <v>4337.1409999999996</v>
      </c>
      <c r="E104" s="1">
        <f>[2]ssp2_popnum!T103</f>
        <v>7604.6400739443152</v>
      </c>
      <c r="F104" s="1">
        <f>[2]ssp2_popnum!Y103</f>
        <v>8504.0680502797077</v>
      </c>
    </row>
    <row r="105" spans="1:6">
      <c r="A105">
        <f>[2]ssp2_popnum!A104</f>
        <v>426</v>
      </c>
      <c r="B105" t="str">
        <f>[2]ssp2_popnum!B104</f>
        <v xml:space="preserve">Lesotho                                          </v>
      </c>
      <c r="C105">
        <f>[2]ssp2_popnum!C104</f>
        <v>26</v>
      </c>
      <c r="D105" s="1">
        <f>[2]ssp2_popnum!O104</f>
        <v>2040.5509999999999</v>
      </c>
      <c r="E105" s="1">
        <f>[2]ssp2_popnum!T104</f>
        <v>4385.7045960625437</v>
      </c>
      <c r="F105" s="1">
        <f>[2]ssp2_popnum!Y104</f>
        <v>5937.1985378587606</v>
      </c>
    </row>
    <row r="106" spans="1:6">
      <c r="A106">
        <f>[2]ssp2_popnum!A105</f>
        <v>428</v>
      </c>
      <c r="B106" t="str">
        <f>[2]ssp2_popnum!B105</f>
        <v xml:space="preserve">Latvia                                          </v>
      </c>
      <c r="C106">
        <f>[2]ssp2_popnum!C105</f>
        <v>12</v>
      </c>
      <c r="D106" s="1">
        <f>[2]ssp2_popnum!O105</f>
        <v>2118.848</v>
      </c>
      <c r="E106" s="1">
        <f>[2]ssp2_popnum!T105</f>
        <v>1948.6491110479174</v>
      </c>
      <c r="F106" s="1">
        <f>[2]ssp2_popnum!Y105</f>
        <v>1500.3642941591359</v>
      </c>
    </row>
    <row r="107" spans="1:6">
      <c r="A107">
        <f>[2]ssp2_popnum!A106</f>
        <v>430</v>
      </c>
      <c r="B107" t="str">
        <f>[2]ssp2_popnum!B106</f>
        <v xml:space="preserve">Liberia                                         </v>
      </c>
      <c r="C107">
        <f>[2]ssp2_popnum!C106</f>
        <v>8</v>
      </c>
      <c r="D107" s="1">
        <f>[2]ssp2_popnum!O106</f>
        <v>3948.125</v>
      </c>
      <c r="E107" s="1">
        <f>[2]ssp2_popnum!T106</f>
        <v>8796.9624872523236</v>
      </c>
      <c r="F107" s="1">
        <f>[2]ssp2_popnum!Y106</f>
        <v>12470.947855984914</v>
      </c>
    </row>
    <row r="108" spans="1:6">
      <c r="A108">
        <f>[2]ssp2_popnum!A107</f>
        <v>434</v>
      </c>
      <c r="B108" t="str">
        <f>[2]ssp2_popnum!B107</f>
        <v>Libyan Arab Jamahiriya</v>
      </c>
      <c r="C108">
        <f>[2]ssp2_popnum!C107</f>
        <v>7</v>
      </c>
      <c r="D108" s="1">
        <f>[2]ssp2_popnum!O107</f>
        <v>6169.14</v>
      </c>
      <c r="E108" s="1">
        <f>[2]ssp2_popnum!T107</f>
        <v>8925.7263149977916</v>
      </c>
      <c r="F108" s="1">
        <f>[2]ssp2_popnum!Y107</f>
        <v>8705.8918202030309</v>
      </c>
    </row>
    <row r="109" spans="1:6">
      <c r="A109">
        <f>[2]ssp2_popnum!A108</f>
        <v>438</v>
      </c>
      <c r="B109" t="str">
        <f>[2]ssp2_popnum!B108</f>
        <v xml:space="preserve">Liechtenstein                               </v>
      </c>
      <c r="C109">
        <f>[2]ssp2_popnum!C108</f>
        <v>11</v>
      </c>
      <c r="D109" s="1">
        <f>[2]ssp2_popnum!O108</f>
        <v>36.003</v>
      </c>
      <c r="E109" s="1">
        <f>[2]ssp2_popnum!T108</f>
        <v>40.000371882427643</v>
      </c>
      <c r="F109" s="1">
        <f>[2]ssp2_popnum!Y108</f>
        <v>39.23689271060141</v>
      </c>
    </row>
    <row r="110" spans="1:6">
      <c r="A110">
        <f>[2]ssp2_popnum!A109</f>
        <v>440</v>
      </c>
      <c r="B110" t="str">
        <f>[2]ssp2_popnum!B109</f>
        <v xml:space="preserve">Lithuania                                       </v>
      </c>
      <c r="C110">
        <f>[2]ssp2_popnum!C109</f>
        <v>12</v>
      </c>
      <c r="D110" s="1">
        <f>[2]ssp2_popnum!O109</f>
        <v>3123.8029999999999</v>
      </c>
      <c r="E110" s="1">
        <f>[2]ssp2_popnum!T109</f>
        <v>2872.8799512937303</v>
      </c>
      <c r="F110" s="1">
        <f>[2]ssp2_popnum!Y109</f>
        <v>2211.9767360316505</v>
      </c>
    </row>
    <row r="111" spans="1:6">
      <c r="A111">
        <f>[2]ssp2_popnum!A110</f>
        <v>442</v>
      </c>
      <c r="B111" t="str">
        <f>[2]ssp2_popnum!B110</f>
        <v xml:space="preserve">Luxembourg                                   </v>
      </c>
      <c r="C111">
        <f>[2]ssp2_popnum!C110</f>
        <v>11</v>
      </c>
      <c r="D111" s="1">
        <f>[2]ssp2_popnum!O110</f>
        <v>507.88900000000001</v>
      </c>
      <c r="E111" s="1">
        <f>[2]ssp2_popnum!T110</f>
        <v>564.27933436086698</v>
      </c>
      <c r="F111" s="1">
        <f>[2]ssp2_popnum!Y110</f>
        <v>553.50904652097438</v>
      </c>
    </row>
    <row r="112" spans="1:6">
      <c r="A112">
        <f>[2]ssp2_popnum!A111</f>
        <v>450</v>
      </c>
      <c r="B112" t="str">
        <f>[2]ssp2_popnum!B111</f>
        <v xml:space="preserve">Madagascar                                      </v>
      </c>
      <c r="C112">
        <f>[2]ssp2_popnum!C111</f>
        <v>9</v>
      </c>
      <c r="D112" s="1">
        <f>[2]ssp2_popnum!O111</f>
        <v>21151.64</v>
      </c>
      <c r="E112" s="1">
        <f>[2]ssp2_popnum!T111</f>
        <v>44701.643494558186</v>
      </c>
      <c r="F112" s="1">
        <f>[2]ssp2_popnum!Y111</f>
        <v>59487.030272964264</v>
      </c>
    </row>
    <row r="113" spans="1:6">
      <c r="A113">
        <f>[2]ssp2_popnum!A112</f>
        <v>454</v>
      </c>
      <c r="B113" t="str">
        <f>[2]ssp2_popnum!B112</f>
        <v xml:space="preserve">Malawi                                          </v>
      </c>
      <c r="C113">
        <f>[2]ssp2_popnum!C112</f>
        <v>26</v>
      </c>
      <c r="D113" s="1">
        <f>[2]ssp2_popnum!O112</f>
        <v>15167.094999999999</v>
      </c>
      <c r="E113" s="1">
        <f>[2]ssp2_popnum!T112</f>
        <v>32598.253241608381</v>
      </c>
      <c r="F113" s="1">
        <f>[2]ssp2_popnum!Y112</f>
        <v>44130.263961824487</v>
      </c>
    </row>
    <row r="114" spans="1:6">
      <c r="A114">
        <f>[2]ssp2_popnum!A113</f>
        <v>458</v>
      </c>
      <c r="B114" t="str">
        <f>[2]ssp2_popnum!B113</f>
        <v xml:space="preserve">Malaysia                                </v>
      </c>
      <c r="C114">
        <f>[2]ssp2_popnum!C113</f>
        <v>21</v>
      </c>
      <c r="D114" s="1">
        <f>[2]ssp2_popnum!O113</f>
        <v>28112.289000000001</v>
      </c>
      <c r="E114" s="1">
        <f>[2]ssp2_popnum!T113</f>
        <v>36244.509719567934</v>
      </c>
      <c r="F114" s="1">
        <f>[2]ssp2_popnum!Y113</f>
        <v>32420.785202414001</v>
      </c>
    </row>
    <row r="115" spans="1:6">
      <c r="A115">
        <f>[2]ssp2_popnum!A114</f>
        <v>466</v>
      </c>
      <c r="B115" t="str">
        <f>[2]ssp2_popnum!B114</f>
        <v xml:space="preserve">Mali                                            </v>
      </c>
      <c r="C115">
        <f>[2]ssp2_popnum!C114</f>
        <v>8</v>
      </c>
      <c r="D115" s="1">
        <f>[2]ssp2_popnum!O114</f>
        <v>15075.084999999999</v>
      </c>
      <c r="E115" s="1">
        <f>[2]ssp2_popnum!T114</f>
        <v>33589.351207760687</v>
      </c>
      <c r="F115" s="1">
        <f>[2]ssp2_popnum!Y114</f>
        <v>47617.691678845105</v>
      </c>
    </row>
    <row r="116" spans="1:6">
      <c r="A116">
        <f>[2]ssp2_popnum!A115</f>
        <v>470</v>
      </c>
      <c r="B116" t="str">
        <f>[2]ssp2_popnum!B115</f>
        <v xml:space="preserve">Malta                                           </v>
      </c>
      <c r="C116">
        <f>[2]ssp2_popnum!C115</f>
        <v>12</v>
      </c>
      <c r="D116" s="1">
        <f>[2]ssp2_popnum!O115</f>
        <v>416.11</v>
      </c>
      <c r="E116" s="1">
        <f>[2]ssp2_popnum!T115</f>
        <v>382.68548833996067</v>
      </c>
      <c r="F116" s="1">
        <f>[2]ssp2_popnum!Y115</f>
        <v>294.64906706028842</v>
      </c>
    </row>
    <row r="117" spans="1:6">
      <c r="A117">
        <f>[2]ssp2_popnum!A116</f>
        <v>474</v>
      </c>
      <c r="B117" t="str">
        <f>[2]ssp2_popnum!B116</f>
        <v xml:space="preserve">Martinique                              </v>
      </c>
      <c r="C117">
        <f>[2]ssp2_popnum!C116</f>
        <v>4</v>
      </c>
      <c r="D117" s="1">
        <f>[2]ssp2_popnum!O116</f>
        <v>394.91</v>
      </c>
      <c r="E117" s="1">
        <f>[2]ssp2_popnum!T116</f>
        <v>506.67852380952388</v>
      </c>
      <c r="F117" s="1">
        <f>[2]ssp2_popnum!Y116</f>
        <v>473.43348295454552</v>
      </c>
    </row>
    <row r="118" spans="1:6">
      <c r="A118">
        <f>[2]ssp2_popnum!A117</f>
        <v>478</v>
      </c>
      <c r="B118" t="str">
        <f>[2]ssp2_popnum!B117</f>
        <v xml:space="preserve">Mauritania                              </v>
      </c>
      <c r="C118">
        <f>[2]ssp2_popnum!C117</f>
        <v>8</v>
      </c>
      <c r="D118" s="1">
        <f>[2]ssp2_popnum!O117</f>
        <v>3609.5430000000001</v>
      </c>
      <c r="E118" s="1">
        <f>[2]ssp2_popnum!T117</f>
        <v>8042.5554832038533</v>
      </c>
      <c r="F118" s="1">
        <f>[2]ssp2_popnum!Y117</f>
        <v>11401.468427908274</v>
      </c>
    </row>
    <row r="119" spans="1:6">
      <c r="A119">
        <f>[2]ssp2_popnum!A118</f>
        <v>480</v>
      </c>
      <c r="B119" t="str">
        <f>[2]ssp2_popnum!B118</f>
        <v xml:space="preserve">Mauritius                                       </v>
      </c>
      <c r="C119">
        <f>[2]ssp2_popnum!C118</f>
        <v>9</v>
      </c>
      <c r="D119" s="1">
        <f>[2]ssp2_popnum!O118</f>
        <v>1247.9549999999999</v>
      </c>
      <c r="E119" s="1">
        <f>[2]ssp2_popnum!T118</f>
        <v>2637.4143805043655</v>
      </c>
      <c r="F119" s="1">
        <f>[2]ssp2_popnum!Y118</f>
        <v>3509.7579603424188</v>
      </c>
    </row>
    <row r="120" spans="1:6">
      <c r="A120">
        <f>[2]ssp2_popnum!A119</f>
        <v>484</v>
      </c>
      <c r="B120" t="str">
        <f>[2]ssp2_popnum!B119</f>
        <v>Mexico</v>
      </c>
      <c r="C120">
        <f>[2]ssp2_popnum!C119</f>
        <v>3</v>
      </c>
      <c r="D120" s="1">
        <f>[2]ssp2_popnum!O119</f>
        <v>117318.94100000001</v>
      </c>
      <c r="E120" s="1">
        <f>[2]ssp2_popnum!T119</f>
        <v>156054.92151957485</v>
      </c>
      <c r="F120" s="1">
        <f>[2]ssp2_popnum!Y119</f>
        <v>150123.02450274123</v>
      </c>
    </row>
    <row r="121" spans="1:6">
      <c r="A121">
        <f>[2]ssp2_popnum!A120</f>
        <v>496</v>
      </c>
      <c r="B121" t="str">
        <f>[2]ssp2_popnum!B120</f>
        <v xml:space="preserve">Mongolia                                </v>
      </c>
      <c r="C121">
        <f>[2]ssp2_popnum!C120</f>
        <v>20</v>
      </c>
      <c r="D121" s="1">
        <f>[2]ssp2_popnum!O120</f>
        <v>2712.65</v>
      </c>
      <c r="E121" s="1">
        <f>[2]ssp2_popnum!T120</f>
        <v>2589.5661631489338</v>
      </c>
      <c r="F121" s="1">
        <f>[2]ssp2_popnum!Y120</f>
        <v>1582.0229663161854</v>
      </c>
    </row>
    <row r="122" spans="1:6">
      <c r="A122">
        <f>[2]ssp2_popnum!A121</f>
        <v>498</v>
      </c>
      <c r="B122" t="str">
        <f>[2]ssp2_popnum!B121</f>
        <v>Moldova</v>
      </c>
      <c r="C122">
        <f>[2]ssp2_popnum!C121</f>
        <v>14</v>
      </c>
      <c r="D122" s="1">
        <f>[2]ssp2_popnum!O121</f>
        <v>4084.4810000000002</v>
      </c>
      <c r="E122" s="1">
        <f>[2]ssp2_popnum!T121</f>
        <v>3467.0010683208088</v>
      </c>
      <c r="F122" s="1">
        <f>[2]ssp2_popnum!Y121</f>
        <v>2826.9962734352148</v>
      </c>
    </row>
    <row r="123" spans="1:6">
      <c r="A123">
        <f>[2]ssp2_popnum!A122</f>
        <v>500</v>
      </c>
      <c r="B123" t="str">
        <f>[2]ssp2_popnum!B122</f>
        <v xml:space="preserve">Montserrat                              </v>
      </c>
      <c r="C123">
        <f>[2]ssp2_popnum!C122</f>
        <v>4</v>
      </c>
      <c r="D123" s="1">
        <f>[2]ssp2_popnum!O122</f>
        <v>4.944</v>
      </c>
      <c r="E123" s="1">
        <f>[2]ssp2_popnum!T122</f>
        <v>6.3432645962732925</v>
      </c>
      <c r="F123" s="1">
        <f>[2]ssp2_popnum!Y122</f>
        <v>5.9270596837944671</v>
      </c>
    </row>
    <row r="124" spans="1:6">
      <c r="A124">
        <f>[2]ssp2_popnum!A123</f>
        <v>504</v>
      </c>
      <c r="B124" t="str">
        <f>[2]ssp2_popnum!B123</f>
        <v xml:space="preserve">Morocco                                          </v>
      </c>
      <c r="C124">
        <f>[2]ssp2_popnum!C123</f>
        <v>7</v>
      </c>
      <c r="D124" s="1">
        <f>[2]ssp2_popnum!O123</f>
        <v>32409.638999999999</v>
      </c>
      <c r="E124" s="1">
        <f>[2]ssp2_popnum!T123</f>
        <v>46891.392914065611</v>
      </c>
      <c r="F124" s="1">
        <f>[2]ssp2_popnum!Y123</f>
        <v>45736.490185963215</v>
      </c>
    </row>
    <row r="125" spans="1:6">
      <c r="A125">
        <f>[2]ssp2_popnum!A124</f>
        <v>508</v>
      </c>
      <c r="B125" t="str">
        <f>[2]ssp2_popnum!B124</f>
        <v xml:space="preserve">Mozambique                                      </v>
      </c>
      <c r="C125">
        <f>[2]ssp2_popnum!C124</f>
        <v>26</v>
      </c>
      <c r="D125" s="1">
        <f>[2]ssp2_popnum!O124</f>
        <v>24221.404999999999</v>
      </c>
      <c r="E125" s="1">
        <f>[2]ssp2_popnum!T124</f>
        <v>52058.45246288491</v>
      </c>
      <c r="F125" s="1">
        <f>[2]ssp2_popnum!Y124</f>
        <v>70474.734692190919</v>
      </c>
    </row>
    <row r="126" spans="1:6">
      <c r="A126">
        <f>[2]ssp2_popnum!A125</f>
        <v>512</v>
      </c>
      <c r="B126" t="str">
        <f>[2]ssp2_popnum!B125</f>
        <v xml:space="preserve">Oman                                           </v>
      </c>
      <c r="C126">
        <f>[2]ssp2_popnum!C125</f>
        <v>17</v>
      </c>
      <c r="D126" s="1">
        <f>[2]ssp2_popnum!O125</f>
        <v>3041.46</v>
      </c>
      <c r="E126" s="1">
        <f>[2]ssp2_popnum!T125</f>
        <v>5332.8237655401745</v>
      </c>
      <c r="F126" s="1">
        <f>[2]ssp2_popnum!Y125</f>
        <v>5963.5559028871148</v>
      </c>
    </row>
    <row r="127" spans="1:6">
      <c r="A127">
        <f>[2]ssp2_popnum!A126</f>
        <v>516</v>
      </c>
      <c r="B127" t="str">
        <f>[2]ssp2_popnum!B126</f>
        <v xml:space="preserve">Namibia                                         </v>
      </c>
      <c r="C127">
        <f>[2]ssp2_popnum!C126</f>
        <v>26</v>
      </c>
      <c r="D127" s="1">
        <f>[2]ssp2_popnum!O126</f>
        <v>2173.17</v>
      </c>
      <c r="E127" s="1">
        <f>[2]ssp2_popnum!T126</f>
        <v>4670.7392547528771</v>
      </c>
      <c r="F127" s="1">
        <f>[2]ssp2_popnum!Y126</f>
        <v>6323.0675178020665</v>
      </c>
    </row>
    <row r="128" spans="1:6">
      <c r="A128">
        <f>[2]ssp2_popnum!A127</f>
        <v>524</v>
      </c>
      <c r="B128" t="str">
        <f>[2]ssp2_popnum!B127</f>
        <v xml:space="preserve">Nepal                                            </v>
      </c>
      <c r="C128">
        <f>[2]ssp2_popnum!C127</f>
        <v>25</v>
      </c>
      <c r="D128" s="1">
        <f>[2]ssp2_popnum!O127</f>
        <v>27023.136999999999</v>
      </c>
      <c r="E128" s="1">
        <f>[2]ssp2_popnum!T127</f>
        <v>42840.599743921353</v>
      </c>
      <c r="F128" s="1">
        <f>[2]ssp2_popnum!Y127</f>
        <v>45692.673256851478</v>
      </c>
    </row>
    <row r="129" spans="1:6">
      <c r="A129">
        <f>[2]ssp2_popnum!A128</f>
        <v>528</v>
      </c>
      <c r="B129" t="str">
        <f>[2]ssp2_popnum!B128</f>
        <v xml:space="preserve">Netherlands                                  </v>
      </c>
      <c r="C129">
        <f>[2]ssp2_popnum!C128</f>
        <v>11</v>
      </c>
      <c r="D129" s="1">
        <f>[2]ssp2_popnum!O128</f>
        <v>16682.917000000001</v>
      </c>
      <c r="E129" s="1">
        <f>[2]ssp2_popnum!T128</f>
        <v>18535.202179920401</v>
      </c>
      <c r="F129" s="1">
        <f>[2]ssp2_popnum!Y128</f>
        <v>18181.424448764505</v>
      </c>
    </row>
    <row r="130" spans="1:6">
      <c r="A130">
        <f>[2]ssp2_popnum!A129</f>
        <v>530</v>
      </c>
      <c r="B130" t="str">
        <f>[2]ssp2_popnum!B129</f>
        <v xml:space="preserve">Netherlands Antilles                    </v>
      </c>
      <c r="C130">
        <f>[2]ssp2_popnum!C129</f>
        <v>4</v>
      </c>
      <c r="D130" s="1">
        <f>[2]ssp2_popnum!O129</f>
        <v>200.68899999999999</v>
      </c>
      <c r="E130" s="1">
        <f>[2]ssp2_popnum!T129</f>
        <v>257.48855755693586</v>
      </c>
      <c r="F130" s="1">
        <f>[2]ssp2_popnum!Y129</f>
        <v>240.59378658596839</v>
      </c>
    </row>
    <row r="131" spans="1:6">
      <c r="A131">
        <f>[2]ssp2_popnum!A130</f>
        <v>533</v>
      </c>
      <c r="B131" t="str">
        <f>[2]ssp2_popnum!B130</f>
        <v xml:space="preserve">Aruba                                   </v>
      </c>
      <c r="C131">
        <f>[2]ssp2_popnum!C130</f>
        <v>4</v>
      </c>
      <c r="D131" s="1">
        <f>[2]ssp2_popnum!O130</f>
        <v>101.669</v>
      </c>
      <c r="E131" s="1">
        <f>[2]ssp2_popnum!T130</f>
        <v>130.44364244306419</v>
      </c>
      <c r="F131" s="1">
        <f>[2]ssp2_popnum!Y130</f>
        <v>121.88475545948617</v>
      </c>
    </row>
    <row r="132" spans="1:6">
      <c r="A132">
        <f>[2]ssp2_popnum!A131</f>
        <v>540</v>
      </c>
      <c r="B132" t="str">
        <f>[2]ssp2_popnum!B131</f>
        <v xml:space="preserve">New Caledonia                           </v>
      </c>
      <c r="C132">
        <f>[2]ssp2_popnum!C131</f>
        <v>24</v>
      </c>
      <c r="D132" s="1">
        <f>[2]ssp2_popnum!O131</f>
        <v>251.03700000000001</v>
      </c>
      <c r="E132" s="1">
        <f>[2]ssp2_popnum!T131</f>
        <v>388.86819022047621</v>
      </c>
      <c r="F132" s="1">
        <f>[2]ssp2_popnum!Y131</f>
        <v>449.89805910590303</v>
      </c>
    </row>
    <row r="133" spans="1:6">
      <c r="A133">
        <f>[2]ssp2_popnum!A132</f>
        <v>548</v>
      </c>
      <c r="B133" t="str">
        <f>[2]ssp2_popnum!B132</f>
        <v xml:space="preserve">Vanuatu                                         </v>
      </c>
      <c r="C133">
        <f>[2]ssp2_popnum!C132</f>
        <v>24</v>
      </c>
      <c r="D133" s="1">
        <f>[2]ssp2_popnum!O132</f>
        <v>236.29499999999999</v>
      </c>
      <c r="E133" s="1">
        <f>[2]ssp2_popnum!T132</f>
        <v>366.03213473769767</v>
      </c>
      <c r="F133" s="1">
        <f>[2]ssp2_popnum!Y132</f>
        <v>423.47806051071893</v>
      </c>
    </row>
    <row r="134" spans="1:6">
      <c r="A134">
        <f>[2]ssp2_popnum!A133</f>
        <v>554</v>
      </c>
      <c r="B134" t="str">
        <f>[2]ssp2_popnum!B133</f>
        <v xml:space="preserve">New Zealand                             </v>
      </c>
      <c r="C134">
        <f>[2]ssp2_popnum!C133</f>
        <v>24</v>
      </c>
      <c r="D134" s="1">
        <f>[2]ssp2_popnum!O133</f>
        <v>4370.0619999999999</v>
      </c>
      <c r="E134" s="1">
        <f>[2]ssp2_popnum!T133</f>
        <v>6769.432797122633</v>
      </c>
      <c r="F134" s="1">
        <f>[2]ssp2_popnum!Y133</f>
        <v>7831.8431624519917</v>
      </c>
    </row>
    <row r="135" spans="1:6">
      <c r="A135">
        <f>[2]ssp2_popnum!A134</f>
        <v>558</v>
      </c>
      <c r="B135" t="str">
        <f>[2]ssp2_popnum!B134</f>
        <v xml:space="preserve">Nicaragua                                       </v>
      </c>
      <c r="C135">
        <f>[2]ssp2_popnum!C134</f>
        <v>4</v>
      </c>
      <c r="D135" s="1">
        <f>[2]ssp2_popnum!O134</f>
        <v>5737.723</v>
      </c>
      <c r="E135" s="1">
        <f>[2]ssp2_popnum!T134</f>
        <v>7361.6292817805388</v>
      </c>
      <c r="F135" s="1">
        <f>[2]ssp2_popnum!Y134</f>
        <v>6878.6057180583011</v>
      </c>
    </row>
    <row r="136" spans="1:6">
      <c r="A136">
        <f>[2]ssp2_popnum!A135</f>
        <v>562</v>
      </c>
      <c r="B136" t="str">
        <f>[2]ssp2_popnum!B135</f>
        <v xml:space="preserve">Niger                                       </v>
      </c>
      <c r="C136">
        <f>[2]ssp2_popnum!C135</f>
        <v>8</v>
      </c>
      <c r="D136" s="1">
        <f>[2]ssp2_popnum!O135</f>
        <v>16425.578000000001</v>
      </c>
      <c r="E136" s="1">
        <f>[2]ssp2_popnum!T135</f>
        <v>36598.43431943949</v>
      </c>
      <c r="F136" s="1">
        <f>[2]ssp2_popnum!Y135</f>
        <v>51883.495771388443</v>
      </c>
    </row>
    <row r="137" spans="1:6">
      <c r="A137">
        <f>[2]ssp2_popnum!A136</f>
        <v>566</v>
      </c>
      <c r="B137" t="str">
        <f>[2]ssp2_popnum!B136</f>
        <v xml:space="preserve">Nigeria                                 </v>
      </c>
      <c r="C137">
        <f>[2]ssp2_popnum!C136</f>
        <v>8</v>
      </c>
      <c r="D137" s="1">
        <f>[2]ssp2_popnum!O136</f>
        <v>158578.261</v>
      </c>
      <c r="E137" s="1">
        <f>[2]ssp2_popnum!T136</f>
        <v>353334.05434496322</v>
      </c>
      <c r="F137" s="1">
        <f>[2]ssp2_popnum!Y136</f>
        <v>500901.37065664493</v>
      </c>
    </row>
    <row r="138" spans="1:6">
      <c r="A138">
        <f>[2]ssp2_popnum!A137</f>
        <v>578</v>
      </c>
      <c r="B138" t="str">
        <f>[2]ssp2_popnum!B137</f>
        <v xml:space="preserve">Norway                                           </v>
      </c>
      <c r="C138">
        <f>[2]ssp2_popnum!C137</f>
        <v>11</v>
      </c>
      <c r="D138" s="1">
        <f>[2]ssp2_popnum!O137</f>
        <v>4885.8779999999997</v>
      </c>
      <c r="E138" s="1">
        <f>[2]ssp2_popnum!T137</f>
        <v>5428.3514421623695</v>
      </c>
      <c r="F138" s="1">
        <f>[2]ssp2_popnum!Y137</f>
        <v>5324.7415738435075</v>
      </c>
    </row>
    <row r="139" spans="1:6">
      <c r="A139">
        <f>[2]ssp2_popnum!A138</f>
        <v>586</v>
      </c>
      <c r="B139" t="str">
        <f>[2]ssp2_popnum!B138</f>
        <v xml:space="preserve">Pakistan                                </v>
      </c>
      <c r="C139">
        <f>[2]ssp2_popnum!C138</f>
        <v>25</v>
      </c>
      <c r="D139" s="1">
        <f>[2]ssp2_popnum!O138</f>
        <v>170560.182</v>
      </c>
      <c r="E139" s="1">
        <f>[2]ssp2_popnum!T138</f>
        <v>270394.23621737107</v>
      </c>
      <c r="F139" s="1">
        <f>[2]ssp2_popnum!Y138</f>
        <v>288395.48372030683</v>
      </c>
    </row>
    <row r="140" spans="1:6">
      <c r="A140">
        <f>[2]ssp2_popnum!A139</f>
        <v>591</v>
      </c>
      <c r="B140" t="str">
        <f>[2]ssp2_popnum!B139</f>
        <v xml:space="preserve">Panama                                          </v>
      </c>
      <c r="C140">
        <f>[2]ssp2_popnum!C139</f>
        <v>4</v>
      </c>
      <c r="D140" s="1">
        <f>[2]ssp2_popnum!O139</f>
        <v>3643.2220000000002</v>
      </c>
      <c r="E140" s="1">
        <f>[2]ssp2_popnum!T139</f>
        <v>4674.3367979296072</v>
      </c>
      <c r="F140" s="1">
        <f>[2]ssp2_popnum!Y139</f>
        <v>4367.6363744565224</v>
      </c>
    </row>
    <row r="141" spans="1:6">
      <c r="A141">
        <f>[2]ssp2_popnum!A140</f>
        <v>598</v>
      </c>
      <c r="B141" t="str">
        <f>[2]ssp2_popnum!B140</f>
        <v xml:space="preserve">Papua New Guinea                                            </v>
      </c>
      <c r="C141">
        <f>[2]ssp2_popnum!C140</f>
        <v>22</v>
      </c>
      <c r="D141" s="1">
        <f>[2]ssp2_popnum!O140</f>
        <v>7108.2389999999996</v>
      </c>
      <c r="E141" s="1">
        <f>[2]ssp2_popnum!T140</f>
        <v>8766.8603715204772</v>
      </c>
      <c r="F141" s="1">
        <f>[2]ssp2_popnum!Y140</f>
        <v>7047.7014242324694</v>
      </c>
    </row>
    <row r="142" spans="1:6">
      <c r="A142">
        <f>[2]ssp2_popnum!A141</f>
        <v>600</v>
      </c>
      <c r="B142" t="str">
        <f>[2]ssp2_popnum!B141</f>
        <v xml:space="preserve">Paraguay                                        </v>
      </c>
      <c r="C142">
        <f>[2]ssp2_popnum!C141</f>
        <v>6</v>
      </c>
      <c r="D142" s="1">
        <f>[2]ssp2_popnum!O141</f>
        <v>6209.8770000000004</v>
      </c>
      <c r="E142" s="1">
        <f>[2]ssp2_popnum!T141</f>
        <v>8153.3278449577811</v>
      </c>
      <c r="F142" s="1">
        <f>[2]ssp2_popnum!Y141</f>
        <v>7627.9643164920089</v>
      </c>
    </row>
    <row r="143" spans="1:6">
      <c r="A143">
        <f>[2]ssp2_popnum!A142</f>
        <v>604</v>
      </c>
      <c r="B143" t="str">
        <f>[2]ssp2_popnum!B142</f>
        <v xml:space="preserve">Peru                                            </v>
      </c>
      <c r="C143">
        <f>[2]ssp2_popnum!C142</f>
        <v>6</v>
      </c>
      <c r="D143" s="1">
        <f>[2]ssp2_popnum!O142</f>
        <v>29373.646000000001</v>
      </c>
      <c r="E143" s="1">
        <f>[2]ssp2_popnum!T142</f>
        <v>38566.458858964957</v>
      </c>
      <c r="F143" s="1">
        <f>[2]ssp2_popnum!Y142</f>
        <v>36081.410877102433</v>
      </c>
    </row>
    <row r="144" spans="1:6">
      <c r="A144">
        <f>[2]ssp2_popnum!A143</f>
        <v>608</v>
      </c>
      <c r="B144" t="str">
        <f>[2]ssp2_popnum!B143</f>
        <v xml:space="preserve">Philippines                                 </v>
      </c>
      <c r="C144">
        <f>[2]ssp2_popnum!C143</f>
        <v>21</v>
      </c>
      <c r="D144" s="1">
        <f>[2]ssp2_popnum!O143</f>
        <v>93726.623999999996</v>
      </c>
      <c r="E144" s="1">
        <f>[2]ssp2_popnum!T143</f>
        <v>120839.52091379998</v>
      </c>
      <c r="F144" s="1">
        <f>[2]ssp2_popnum!Y143</f>
        <v>108091.18903307449</v>
      </c>
    </row>
    <row r="145" spans="1:6">
      <c r="A145">
        <f>[2]ssp2_popnum!A144</f>
        <v>616</v>
      </c>
      <c r="B145" t="str">
        <f>[2]ssp2_popnum!B144</f>
        <v xml:space="preserve">Poland                                          </v>
      </c>
      <c r="C145">
        <f>[2]ssp2_popnum!C144</f>
        <v>12</v>
      </c>
      <c r="D145" s="1">
        <f>[2]ssp2_popnum!O144</f>
        <v>38323.402000000002</v>
      </c>
      <c r="E145" s="1">
        <f>[2]ssp2_popnum!T144</f>
        <v>35245.030903411658</v>
      </c>
      <c r="F145" s="1">
        <f>[2]ssp2_popnum!Y144</f>
        <v>27136.946110106444</v>
      </c>
    </row>
    <row r="146" spans="1:6">
      <c r="A146">
        <f>[2]ssp2_popnum!A145</f>
        <v>620</v>
      </c>
      <c r="B146" t="str">
        <f>[2]ssp2_popnum!B145</f>
        <v>Portugal</v>
      </c>
      <c r="C146">
        <f>[2]ssp2_popnum!C145</f>
        <v>11</v>
      </c>
      <c r="D146" s="1">
        <f>[2]ssp2_popnum!O145</f>
        <v>10652.321</v>
      </c>
      <c r="E146" s="1">
        <f>[2]ssp2_popnum!T145</f>
        <v>11835.036008415786</v>
      </c>
      <c r="F146" s="1">
        <f>[2]ssp2_popnum!Y145</f>
        <v>11609.143021300622</v>
      </c>
    </row>
    <row r="147" spans="1:6">
      <c r="A147">
        <f>[2]ssp2_popnum!A146</f>
        <v>624</v>
      </c>
      <c r="B147" t="str">
        <f>[2]ssp2_popnum!B146</f>
        <v xml:space="preserve">Guinea-Bissau                                   </v>
      </c>
      <c r="C147">
        <f>[2]ssp2_popnum!C146</f>
        <v>8</v>
      </c>
      <c r="D147" s="1">
        <f>[2]ssp2_popnum!O146</f>
        <v>1555.88</v>
      </c>
      <c r="E147" s="1">
        <f>[2]ssp2_popnum!T146</f>
        <v>3466.7134385730301</v>
      </c>
      <c r="F147" s="1">
        <f>[2]ssp2_popnum!Y146</f>
        <v>4914.5602913205157</v>
      </c>
    </row>
    <row r="148" spans="1:6">
      <c r="A148">
        <f>[2]ssp2_popnum!A147</f>
        <v>626</v>
      </c>
      <c r="B148" t="str">
        <f>[2]ssp2_popnum!B147</f>
        <v>East Timor</v>
      </c>
      <c r="C148">
        <f>[2]ssp2_popnum!C147</f>
        <v>22</v>
      </c>
      <c r="D148" s="1">
        <f>[2]ssp2_popnum!O147</f>
        <v>1109.5909999999999</v>
      </c>
      <c r="E148" s="1">
        <f>[2]ssp2_popnum!T147</f>
        <v>1368.5006042278233</v>
      </c>
      <c r="F148" s="1">
        <f>[2]ssp2_popnum!Y147</f>
        <v>1100.1411279243043</v>
      </c>
    </row>
    <row r="149" spans="1:6">
      <c r="A149">
        <f>[2]ssp2_popnum!A148</f>
        <v>630</v>
      </c>
      <c r="B149" t="str">
        <f>[2]ssp2_popnum!B148</f>
        <v xml:space="preserve">Puerto Rico                                                 </v>
      </c>
      <c r="C149">
        <f>[2]ssp2_popnum!C148</f>
        <v>4</v>
      </c>
      <c r="D149" s="1">
        <f>[2]ssp2_popnum!O148</f>
        <v>3716.6930000000002</v>
      </c>
      <c r="E149" s="1">
        <f>[2]ssp2_popnum!T148</f>
        <v>4768.6017641821954</v>
      </c>
      <c r="F149" s="1">
        <f>[2]ssp2_popnum!Y148</f>
        <v>4455.7162696887362</v>
      </c>
    </row>
    <row r="150" spans="1:6">
      <c r="A150">
        <f>[2]ssp2_popnum!A149</f>
        <v>634</v>
      </c>
      <c r="B150" t="str">
        <f>[2]ssp2_popnum!B149</f>
        <v xml:space="preserve">Qatar                                              </v>
      </c>
      <c r="C150">
        <f>[2]ssp2_popnum!C149</f>
        <v>17</v>
      </c>
      <c r="D150" s="1">
        <f>[2]ssp2_popnum!O149</f>
        <v>1779.6759999999999</v>
      </c>
      <c r="E150" s="1">
        <f>[2]ssp2_popnum!T149</f>
        <v>3120.4416522859005</v>
      </c>
      <c r="F150" s="1">
        <f>[2]ssp2_popnum!Y149</f>
        <v>3489.507445446111</v>
      </c>
    </row>
    <row r="151" spans="1:6">
      <c r="A151">
        <f>[2]ssp2_popnum!A150</f>
        <v>638</v>
      </c>
      <c r="B151" t="str">
        <f>[2]ssp2_popnum!B150</f>
        <v xml:space="preserve">Reunion                                 </v>
      </c>
      <c r="C151">
        <f>[2]ssp2_popnum!C150</f>
        <v>9</v>
      </c>
      <c r="D151" s="1">
        <f>[2]ssp2_popnum!O150</f>
        <v>830.51900000000001</v>
      </c>
      <c r="E151" s="1">
        <f>[2]ssp2_popnum!T150</f>
        <v>1755.2097262177765</v>
      </c>
      <c r="F151" s="1">
        <f>[2]ssp2_popnum!Y150</f>
        <v>2335.7578369938224</v>
      </c>
    </row>
    <row r="152" spans="1:6">
      <c r="A152">
        <f>[2]ssp2_popnum!A151</f>
        <v>642</v>
      </c>
      <c r="B152" t="str">
        <f>[2]ssp2_popnum!B151</f>
        <v xml:space="preserve">Romania                                 </v>
      </c>
      <c r="C152">
        <f>[2]ssp2_popnum!C151</f>
        <v>12</v>
      </c>
      <c r="D152" s="1">
        <f>[2]ssp2_popnum!O151</f>
        <v>20440.347000000002</v>
      </c>
      <c r="E152" s="1">
        <f>[2]ssp2_popnum!T151</f>
        <v>18798.452749352935</v>
      </c>
      <c r="F152" s="1">
        <f>[2]ssp2_popnum!Y151</f>
        <v>14473.887130659119</v>
      </c>
    </row>
    <row r="153" spans="1:6">
      <c r="A153">
        <f>[2]ssp2_popnum!A152</f>
        <v>643</v>
      </c>
      <c r="B153" t="str">
        <f>[2]ssp2_popnum!B152</f>
        <v xml:space="preserve">Russian Federation                      </v>
      </c>
      <c r="C153">
        <f>[2]ssp2_popnum!C152</f>
        <v>16</v>
      </c>
      <c r="D153" s="1">
        <f>[2]ssp2_popnum!O152</f>
        <v>143153.86900000001</v>
      </c>
      <c r="E153" s="1">
        <f>[2]ssp2_popnum!T152</f>
        <v>138543.14524664052</v>
      </c>
      <c r="F153" s="1">
        <f>[2]ssp2_popnum!Y152</f>
        <v>122538.25601624721</v>
      </c>
    </row>
    <row r="154" spans="1:6">
      <c r="A154">
        <f>[2]ssp2_popnum!A153</f>
        <v>646</v>
      </c>
      <c r="B154" t="str">
        <f>[2]ssp2_popnum!B153</f>
        <v>Rwanda</v>
      </c>
      <c r="C154">
        <f>[2]ssp2_popnum!C153</f>
        <v>9</v>
      </c>
      <c r="D154" s="1">
        <f>[2]ssp2_popnum!O153</f>
        <v>10246.842000000001</v>
      </c>
      <c r="E154" s="1">
        <f>[2]ssp2_popnum!T153</f>
        <v>21655.563257934875</v>
      </c>
      <c r="F154" s="1">
        <f>[2]ssp2_popnum!Y153</f>
        <v>28818.294952839671</v>
      </c>
    </row>
    <row r="155" spans="1:6">
      <c r="A155">
        <f>[2]ssp2_popnum!A154</f>
        <v>659</v>
      </c>
      <c r="B155" t="str">
        <f>[2]ssp2_popnum!B154</f>
        <v xml:space="preserve">Saint Kitts and Nevis </v>
      </c>
      <c r="C155">
        <f>[2]ssp2_popnum!C154</f>
        <v>4</v>
      </c>
      <c r="D155" s="1">
        <f>[2]ssp2_popnum!O154</f>
        <v>51.445</v>
      </c>
      <c r="E155" s="1">
        <f>[2]ssp2_popnum!T154</f>
        <v>66.005106625258804</v>
      </c>
      <c r="F155" s="1">
        <f>[2]ssp2_popnum!Y154</f>
        <v>61.674268898221349</v>
      </c>
    </row>
    <row r="156" spans="1:6">
      <c r="A156">
        <f>[2]ssp2_popnum!A155</f>
        <v>660</v>
      </c>
      <c r="B156" t="str">
        <f>[2]ssp2_popnum!B155</f>
        <v xml:space="preserve">Anguilla                                </v>
      </c>
      <c r="C156">
        <f>[2]ssp2_popnum!C155</f>
        <v>4</v>
      </c>
      <c r="D156" s="1">
        <f>[2]ssp2_popnum!O155</f>
        <v>13.769</v>
      </c>
      <c r="E156" s="1">
        <f>[2]ssp2_popnum!T155</f>
        <v>17.665940579710146</v>
      </c>
      <c r="F156" s="1">
        <f>[2]ssp2_popnum!Y155</f>
        <v>16.50681326581028</v>
      </c>
    </row>
    <row r="157" spans="1:6">
      <c r="A157">
        <f>[2]ssp2_popnum!A156</f>
        <v>662</v>
      </c>
      <c r="B157" t="str">
        <f>[2]ssp2_popnum!B156</f>
        <v xml:space="preserve">Saint Lucia                             </v>
      </c>
      <c r="C157">
        <f>[2]ssp2_popnum!C156</f>
        <v>4</v>
      </c>
      <c r="D157" s="1">
        <f>[2]ssp2_popnum!O156</f>
        <v>172.58</v>
      </c>
      <c r="E157" s="1">
        <f>[2]ssp2_popnum!T156</f>
        <v>221.42407039337479</v>
      </c>
      <c r="F157" s="1">
        <f>[2]ssp2_popnum!Y156</f>
        <v>206.89562302371544</v>
      </c>
    </row>
    <row r="158" spans="1:6">
      <c r="A158">
        <f>[2]ssp2_popnum!A157</f>
        <v>666</v>
      </c>
      <c r="B158" t="str">
        <f>[2]ssp2_popnum!B157</f>
        <v xml:space="preserve">Saint Pierre and Miquelon    </v>
      </c>
      <c r="C158">
        <f>[2]ssp2_popnum!C157</f>
        <v>2</v>
      </c>
      <c r="D158" s="1">
        <f>[2]ssp2_popnum!O157</f>
        <v>6.274</v>
      </c>
      <c r="E158" s="1">
        <f>[2]ssp2_popnum!T157</f>
        <v>8.1043650558728917</v>
      </c>
      <c r="F158" s="1">
        <f>[2]ssp2_popnum!Y157</f>
        <v>9.2376131282662719</v>
      </c>
    </row>
    <row r="159" spans="1:6">
      <c r="A159">
        <f>[2]ssp2_popnum!A158</f>
        <v>670</v>
      </c>
      <c r="B159" t="str">
        <f>[2]ssp2_popnum!B158</f>
        <v>Saint Vincent &amp; the Grenadines</v>
      </c>
      <c r="C159">
        <f>[2]ssp2_popnum!C158</f>
        <v>4</v>
      </c>
      <c r="D159" s="1">
        <f>[2]ssp2_popnum!O158</f>
        <v>109.315</v>
      </c>
      <c r="E159" s="1">
        <f>[2]ssp2_popnum!T158</f>
        <v>140.25363457556938</v>
      </c>
      <c r="F159" s="1">
        <f>[2]ssp2_popnum!Y158</f>
        <v>131.05107793972334</v>
      </c>
    </row>
    <row r="160" spans="1:6">
      <c r="A160">
        <f>[2]ssp2_popnum!A159</f>
        <v>678</v>
      </c>
      <c r="B160" t="str">
        <f>[2]ssp2_popnum!B159</f>
        <v xml:space="preserve">Sao Tome and Principe                </v>
      </c>
      <c r="C160">
        <f>[2]ssp2_popnum!C159</f>
        <v>8</v>
      </c>
      <c r="D160" s="1">
        <f>[2]ssp2_popnum!O159</f>
        <v>174.77600000000001</v>
      </c>
      <c r="E160" s="1">
        <f>[2]ssp2_popnum!T159</f>
        <v>389.42483221073599</v>
      </c>
      <c r="F160" s="1">
        <f>[2]ssp2_popnum!Y159</f>
        <v>552.06519106604264</v>
      </c>
    </row>
    <row r="161" spans="1:6">
      <c r="A161">
        <f>[2]ssp2_popnum!A160</f>
        <v>682</v>
      </c>
      <c r="B161" t="str">
        <f>[2]ssp2_popnum!B160</f>
        <v xml:space="preserve">Saudi Arabia                                     </v>
      </c>
      <c r="C161">
        <f>[2]ssp2_popnum!C160</f>
        <v>17</v>
      </c>
      <c r="D161" s="1">
        <f>[2]ssp2_popnum!O160</f>
        <v>27425.675999999999</v>
      </c>
      <c r="E161" s="1">
        <f>[2]ssp2_popnum!T160</f>
        <v>48087.529265157122</v>
      </c>
      <c r="F161" s="1">
        <f>[2]ssp2_popnum!Y160</f>
        <v>53775.013316127603</v>
      </c>
    </row>
    <row r="162" spans="1:6">
      <c r="A162">
        <f>[2]ssp2_popnum!A161</f>
        <v>686</v>
      </c>
      <c r="B162" t="str">
        <f>[2]ssp2_popnum!B161</f>
        <v xml:space="preserve">Senegal                                         </v>
      </c>
      <c r="C162">
        <f>[2]ssp2_popnum!C161</f>
        <v>8</v>
      </c>
      <c r="D162" s="1">
        <f>[2]ssp2_popnum!O161</f>
        <v>12916.228999999999</v>
      </c>
      <c r="E162" s="1">
        <f>[2]ssp2_popnum!T161</f>
        <v>28779.124771824747</v>
      </c>
      <c r="F162" s="1">
        <f>[2]ssp2_popnum!Y161</f>
        <v>40798.510268788392</v>
      </c>
    </row>
    <row r="163" spans="1:6">
      <c r="A163">
        <f>[2]ssp2_popnum!A162</f>
        <v>694</v>
      </c>
      <c r="B163" t="str">
        <f>[2]ssp2_popnum!B162</f>
        <v xml:space="preserve">Sierra Leone                                    </v>
      </c>
      <c r="C163">
        <f>[2]ssp2_popnum!C162</f>
        <v>8</v>
      </c>
      <c r="D163" s="1">
        <f>[2]ssp2_popnum!O162</f>
        <v>6458.72</v>
      </c>
      <c r="E163" s="1">
        <f>[2]ssp2_popnum!T162</f>
        <v>14390.911522726947</v>
      </c>
      <c r="F163" s="1">
        <f>[2]ssp2_popnum!Y162</f>
        <v>20401.167728075197</v>
      </c>
    </row>
    <row r="164" spans="1:6">
      <c r="A164">
        <f>[2]ssp2_popnum!A163</f>
        <v>702</v>
      </c>
      <c r="B164" t="str">
        <f>[2]ssp2_popnum!B163</f>
        <v xml:space="preserve">Singapore                                       </v>
      </c>
      <c r="C164">
        <f>[2]ssp2_popnum!C163</f>
        <v>21</v>
      </c>
      <c r="D164" s="1">
        <f>[2]ssp2_popnum!O163</f>
        <v>5074.2520000000004</v>
      </c>
      <c r="E164" s="1">
        <f>[2]ssp2_popnum!T163</f>
        <v>6542.1131638742418</v>
      </c>
      <c r="F164" s="1">
        <f>[2]ssp2_popnum!Y163</f>
        <v>5851.9330871605534</v>
      </c>
    </row>
    <row r="165" spans="1:6">
      <c r="A165">
        <f>[2]ssp2_popnum!A164</f>
        <v>703</v>
      </c>
      <c r="B165" t="str">
        <f>[2]ssp2_popnum!B164</f>
        <v>Slovakia</v>
      </c>
      <c r="C165">
        <f>[2]ssp2_popnum!C164</f>
        <v>12</v>
      </c>
      <c r="D165" s="1">
        <f>[2]ssp2_popnum!O164</f>
        <v>5404.2939999999999</v>
      </c>
      <c r="E165" s="1">
        <f>[2]ssp2_popnum!T164</f>
        <v>4970.1879034935937</v>
      </c>
      <c r="F165" s="1">
        <f>[2]ssp2_popnum!Y164</f>
        <v>3826.8010507306108</v>
      </c>
    </row>
    <row r="166" spans="1:6">
      <c r="A166">
        <f>[2]ssp2_popnum!A165</f>
        <v>704</v>
      </c>
      <c r="B166" t="str">
        <f>[2]ssp2_popnum!B165</f>
        <v xml:space="preserve">Viet Nam                              </v>
      </c>
      <c r="C166">
        <f>[2]ssp2_popnum!C165</f>
        <v>21</v>
      </c>
      <c r="D166" s="1">
        <f>[2]ssp2_popnum!O165</f>
        <v>88472.512000000002</v>
      </c>
      <c r="E166" s="1">
        <f>[2]ssp2_popnum!T165</f>
        <v>114065.51850326349</v>
      </c>
      <c r="F166" s="1">
        <f>[2]ssp2_popnum!Y165</f>
        <v>102031.83055887037</v>
      </c>
    </row>
    <row r="167" spans="1:6">
      <c r="A167">
        <f>[2]ssp2_popnum!A166</f>
        <v>705</v>
      </c>
      <c r="B167" t="str">
        <f>[2]ssp2_popnum!B166</f>
        <v xml:space="preserve">Slovenia                                        </v>
      </c>
      <c r="C167">
        <f>[2]ssp2_popnum!C166</f>
        <v>12</v>
      </c>
      <c r="D167" s="1">
        <f>[2]ssp2_popnum!O166</f>
        <v>2045.1679999999999</v>
      </c>
      <c r="E167" s="1">
        <f>[2]ssp2_popnum!T166</f>
        <v>1880.8875413166245</v>
      </c>
      <c r="F167" s="1">
        <f>[2]ssp2_popnum!Y166</f>
        <v>1448.1912070884043</v>
      </c>
    </row>
    <row r="168" spans="1:6">
      <c r="A168">
        <f>[2]ssp2_popnum!A167</f>
        <v>706</v>
      </c>
      <c r="B168" t="str">
        <f>[2]ssp2_popnum!B167</f>
        <v>Somalia</v>
      </c>
      <c r="C168">
        <f>[2]ssp2_popnum!C167</f>
        <v>9</v>
      </c>
      <c r="D168" s="1">
        <f>[2]ssp2_popnum!O167</f>
        <v>12053.223</v>
      </c>
      <c r="E168" s="1">
        <f>[2]ssp2_popnum!T167</f>
        <v>25473.149009079632</v>
      </c>
      <c r="F168" s="1">
        <f>[2]ssp2_popnum!Y167</f>
        <v>33898.574365287473</v>
      </c>
    </row>
    <row r="169" spans="1:6">
      <c r="A169">
        <f>[2]ssp2_popnum!A168</f>
        <v>710</v>
      </c>
      <c r="B169" t="str">
        <f>[2]ssp2_popnum!B168</f>
        <v xml:space="preserve">South Africa                                    </v>
      </c>
      <c r="C169">
        <f>[2]ssp2_popnum!C168</f>
        <v>10</v>
      </c>
      <c r="D169" s="1">
        <f>[2]ssp2_popnum!O168</f>
        <v>51584.663</v>
      </c>
      <c r="E169" s="1">
        <f>[2]ssp2_popnum!T168</f>
        <v>66405.016179380633</v>
      </c>
      <c r="F169" s="1">
        <f>[2]ssp2_popnum!Y168</f>
        <v>61600.927564249097</v>
      </c>
    </row>
    <row r="170" spans="1:6">
      <c r="A170">
        <f>[2]ssp2_popnum!A169</f>
        <v>716</v>
      </c>
      <c r="B170" t="str">
        <f>[2]ssp2_popnum!B169</f>
        <v xml:space="preserve">Zimbabwe                                        </v>
      </c>
      <c r="C170">
        <f>[2]ssp2_popnum!C169</f>
        <v>26</v>
      </c>
      <c r="D170" s="1">
        <f>[2]ssp2_popnum!O169</f>
        <v>14086.316999999999</v>
      </c>
      <c r="E170" s="1">
        <f>[2]ssp2_popnum!T169</f>
        <v>30275.364452294474</v>
      </c>
      <c r="F170" s="1">
        <f>[2]ssp2_popnum!Y169</f>
        <v>40985.626282418329</v>
      </c>
    </row>
    <row r="171" spans="1:6">
      <c r="A171">
        <f>[2]ssp2_popnum!A170</f>
        <v>724</v>
      </c>
      <c r="B171" t="str">
        <f>[2]ssp2_popnum!B170</f>
        <v xml:space="preserve">Spain                                            </v>
      </c>
      <c r="C171">
        <f>[2]ssp2_popnum!C170</f>
        <v>11</v>
      </c>
      <c r="D171" s="1">
        <f>[2]ssp2_popnum!O170</f>
        <v>46788.63</v>
      </c>
      <c r="E171" s="1">
        <f>[2]ssp2_popnum!T170</f>
        <v>51983.518036533358</v>
      </c>
      <c r="F171" s="1">
        <f>[2]ssp2_popnum!Y170</f>
        <v>50991.318928590015</v>
      </c>
    </row>
    <row r="172" spans="1:6">
      <c r="A172">
        <f>[2]ssp2_popnum!A171</f>
        <v>732</v>
      </c>
      <c r="B172" t="str">
        <f>[2]ssp2_popnum!B171</f>
        <v xml:space="preserve">Western Sahara                          </v>
      </c>
      <c r="C172">
        <f>[2]ssp2_popnum!C171</f>
        <v>7</v>
      </c>
      <c r="D172" s="1">
        <f>[2]ssp2_popnum!O171</f>
        <v>480.274</v>
      </c>
      <c r="E172" s="1">
        <f>[2]ssp2_popnum!T171</f>
        <v>694.87712715374425</v>
      </c>
      <c r="F172" s="1">
        <f>[2]ssp2_popnum!Y171</f>
        <v>677.76278185552439</v>
      </c>
    </row>
    <row r="173" spans="1:6">
      <c r="A173">
        <f>[2]ssp2_popnum!A172</f>
        <v>736</v>
      </c>
      <c r="B173" t="str">
        <f>[2]ssp2_popnum!B172</f>
        <v xml:space="preserve">Sudan                                       </v>
      </c>
      <c r="C173">
        <f>[2]ssp2_popnum!C172</f>
        <v>9</v>
      </c>
      <c r="D173" s="1">
        <f>[2]ssp2_popnum!O172</f>
        <v>44453.154999999999</v>
      </c>
      <c r="E173" s="1">
        <f>[2]ssp2_popnum!T172</f>
        <v>93946.809184457408</v>
      </c>
      <c r="F173" s="1">
        <f>[2]ssp2_popnum!Y172</f>
        <v>125020.38504880817</v>
      </c>
    </row>
    <row r="174" spans="1:6">
      <c r="A174">
        <f>[2]ssp2_popnum!A173</f>
        <v>740</v>
      </c>
      <c r="B174" t="str">
        <f>[2]ssp2_popnum!B173</f>
        <v xml:space="preserve">Suriname                                        </v>
      </c>
      <c r="C174">
        <f>[2]ssp2_popnum!C173</f>
        <v>6</v>
      </c>
      <c r="D174" s="1">
        <f>[2]ssp2_popnum!O173</f>
        <v>526.10299999999995</v>
      </c>
      <c r="E174" s="1">
        <f>[2]ssp2_popnum!T173</f>
        <v>690.75285053404809</v>
      </c>
      <c r="F174" s="1">
        <f>[2]ssp2_popnum!Y173</f>
        <v>646.24386454021464</v>
      </c>
    </row>
    <row r="175" spans="1:6">
      <c r="A175">
        <f>[2]ssp2_popnum!A174</f>
        <v>748</v>
      </c>
      <c r="B175" t="str">
        <f>[2]ssp2_popnum!B174</f>
        <v xml:space="preserve">Swaziland                                        </v>
      </c>
      <c r="C175">
        <f>[2]ssp2_popnum!C174</f>
        <v>26</v>
      </c>
      <c r="D175" s="1">
        <f>[2]ssp2_popnum!O174</f>
        <v>1202.8430000000001</v>
      </c>
      <c r="E175" s="1">
        <f>[2]ssp2_popnum!T174</f>
        <v>2585.2400030392077</v>
      </c>
      <c r="F175" s="1">
        <f>[2]ssp2_popnum!Y174</f>
        <v>3499.7986822547664</v>
      </c>
    </row>
    <row r="176" spans="1:6">
      <c r="A176">
        <f>[2]ssp2_popnum!A175</f>
        <v>752</v>
      </c>
      <c r="B176" t="str">
        <f>[2]ssp2_popnum!B175</f>
        <v xml:space="preserve">Sweden                                           </v>
      </c>
      <c r="C176">
        <f>[2]ssp2_popnum!C175</f>
        <v>11</v>
      </c>
      <c r="D176" s="1">
        <f>[2]ssp2_popnum!O175</f>
        <v>9390.1679999999997</v>
      </c>
      <c r="E176" s="1">
        <f>[2]ssp2_popnum!T175</f>
        <v>10432.747605434875</v>
      </c>
      <c r="F176" s="1">
        <f>[2]ssp2_popnum!Y175</f>
        <v>10233.61981919625</v>
      </c>
    </row>
    <row r="177" spans="1:6">
      <c r="A177">
        <f>[2]ssp2_popnum!A176</f>
        <v>756</v>
      </c>
      <c r="B177" t="str">
        <f>[2]ssp2_popnum!B176</f>
        <v>Switzerland</v>
      </c>
      <c r="C177">
        <f>[2]ssp2_popnum!C176</f>
        <v>11</v>
      </c>
      <c r="D177" s="1">
        <f>[2]ssp2_popnum!O176</f>
        <v>7831.9709999999995</v>
      </c>
      <c r="E177" s="1">
        <f>[2]ssp2_popnum!T176</f>
        <v>8701.5457759739111</v>
      </c>
      <c r="F177" s="1">
        <f>[2]ssp2_popnum!Y176</f>
        <v>8535.461096007044</v>
      </c>
    </row>
    <row r="178" spans="1:6">
      <c r="A178">
        <f>[2]ssp2_popnum!A177</f>
        <v>760</v>
      </c>
      <c r="B178" t="str">
        <f>[2]ssp2_popnum!B177</f>
        <v>Syria</v>
      </c>
      <c r="C178">
        <f>[2]ssp2_popnum!C177</f>
        <v>17</v>
      </c>
      <c r="D178" s="1">
        <f>[2]ssp2_popnum!O177</f>
        <v>21018.833999999999</v>
      </c>
      <c r="E178" s="1">
        <f>[2]ssp2_popnum!T177</f>
        <v>36853.924588567279</v>
      </c>
      <c r="F178" s="1">
        <f>[2]ssp2_popnum!Y177</f>
        <v>41212.770042185126</v>
      </c>
    </row>
    <row r="179" spans="1:6">
      <c r="A179">
        <f>[2]ssp2_popnum!A178</f>
        <v>762</v>
      </c>
      <c r="B179" t="str">
        <f>[2]ssp2_popnum!B178</f>
        <v xml:space="preserve">Tajikistan                                      </v>
      </c>
      <c r="C179">
        <f>[2]ssp2_popnum!C178</f>
        <v>15</v>
      </c>
      <c r="D179" s="1">
        <f>[2]ssp2_popnum!O178</f>
        <v>7641.63</v>
      </c>
      <c r="E179" s="1">
        <f>[2]ssp2_popnum!T178</f>
        <v>9688.1811072534674</v>
      </c>
      <c r="F179" s="1">
        <f>[2]ssp2_popnum!Y178</f>
        <v>8533.7730000570027</v>
      </c>
    </row>
    <row r="180" spans="1:6">
      <c r="A180">
        <f>[2]ssp2_popnum!A179</f>
        <v>764</v>
      </c>
      <c r="B180" t="str">
        <f>[2]ssp2_popnum!B179</f>
        <v xml:space="preserve">Thailand                                         </v>
      </c>
      <c r="C180">
        <f>[2]ssp2_popnum!C179</f>
        <v>21</v>
      </c>
      <c r="D180" s="1">
        <f>[2]ssp2_popnum!O179</f>
        <v>67208.808000000005</v>
      </c>
      <c r="E180" s="1">
        <f>[2]ssp2_popnum!T179</f>
        <v>86650.727544689624</v>
      </c>
      <c r="F180" s="1">
        <f>[2]ssp2_popnum!Y179</f>
        <v>77509.246147771308</v>
      </c>
    </row>
    <row r="181" spans="1:6">
      <c r="A181">
        <f>[2]ssp2_popnum!A180</f>
        <v>768</v>
      </c>
      <c r="B181" t="str">
        <f>[2]ssp2_popnum!B180</f>
        <v>Togo</v>
      </c>
      <c r="C181">
        <f>[2]ssp2_popnum!C180</f>
        <v>8</v>
      </c>
      <c r="D181" s="1">
        <f>[2]ssp2_popnum!O180</f>
        <v>6502.9520000000002</v>
      </c>
      <c r="E181" s="1">
        <f>[2]ssp2_popnum!T180</f>
        <v>14489.466468362189</v>
      </c>
      <c r="F181" s="1">
        <f>[2]ssp2_popnum!Y180</f>
        <v>20540.88340718007</v>
      </c>
    </row>
    <row r="182" spans="1:6">
      <c r="A182">
        <f>[2]ssp2_popnum!A181</f>
        <v>776</v>
      </c>
      <c r="B182" t="str">
        <f>[2]ssp2_popnum!B181</f>
        <v xml:space="preserve">Tonga                                            </v>
      </c>
      <c r="C182">
        <f>[2]ssp2_popnum!C181</f>
        <v>24</v>
      </c>
      <c r="D182" s="1">
        <f>[2]ssp2_popnum!O181</f>
        <v>104.137</v>
      </c>
      <c r="E182" s="1">
        <f>[2]ssp2_popnum!T181</f>
        <v>161.31313999525858</v>
      </c>
      <c r="F182" s="1">
        <f>[2]ssp2_popnum!Y181</f>
        <v>186.62999550309883</v>
      </c>
    </row>
    <row r="183" spans="1:6">
      <c r="A183">
        <f>[2]ssp2_popnum!A182</f>
        <v>780</v>
      </c>
      <c r="B183" t="str">
        <f>[2]ssp2_popnum!B182</f>
        <v xml:space="preserve">Trinidad and Tobago                             </v>
      </c>
      <c r="C183">
        <f>[2]ssp2_popnum!C182</f>
        <v>4</v>
      </c>
      <c r="D183" s="1">
        <f>[2]ssp2_popnum!O182</f>
        <v>1328.1</v>
      </c>
      <c r="E183" s="1">
        <f>[2]ssp2_popnum!T182</f>
        <v>1703.982546583851</v>
      </c>
      <c r="F183" s="1">
        <f>[2]ssp2_popnum!Y182</f>
        <v>1592.1779866600791</v>
      </c>
    </row>
    <row r="184" spans="1:6">
      <c r="A184">
        <f>[2]ssp2_popnum!A183</f>
        <v>784</v>
      </c>
      <c r="B184" t="str">
        <f>[2]ssp2_popnum!B183</f>
        <v xml:space="preserve">United Arab Emirates                    </v>
      </c>
      <c r="C184">
        <f>[2]ssp2_popnum!C183</f>
        <v>17</v>
      </c>
      <c r="D184" s="1">
        <f>[2]ssp2_popnum!O183</f>
        <v>8270.6839999999993</v>
      </c>
      <c r="E184" s="1">
        <f>[2]ssp2_popnum!T183</f>
        <v>14501.620995335421</v>
      </c>
      <c r="F184" s="1">
        <f>[2]ssp2_popnum!Y183</f>
        <v>16216.779569389046</v>
      </c>
    </row>
    <row r="185" spans="1:6">
      <c r="A185">
        <f>[2]ssp2_popnum!A184</f>
        <v>788</v>
      </c>
      <c r="B185" t="str">
        <f>[2]ssp2_popnum!B184</f>
        <v xml:space="preserve">Tunisia                                         </v>
      </c>
      <c r="C185">
        <f>[2]ssp2_popnum!C184</f>
        <v>7</v>
      </c>
      <c r="D185" s="1">
        <f>[2]ssp2_popnum!O184</f>
        <v>10639.931</v>
      </c>
      <c r="E185" s="1">
        <f>[2]ssp2_popnum!T184</f>
        <v>15394.22222813241</v>
      </c>
      <c r="F185" s="1">
        <f>[2]ssp2_popnum!Y184</f>
        <v>15015.073131818155</v>
      </c>
    </row>
    <row r="186" spans="1:6">
      <c r="A186">
        <f>[2]ssp2_popnum!A185</f>
        <v>792</v>
      </c>
      <c r="B186" t="str">
        <f>[2]ssp2_popnum!B185</f>
        <v xml:space="preserve">Turkey                                          </v>
      </c>
      <c r="C186">
        <f>[2]ssp2_popnum!C185</f>
        <v>13</v>
      </c>
      <c r="D186" s="1">
        <f>[2]ssp2_popnum!O185</f>
        <v>72326.914000000004</v>
      </c>
      <c r="E186" s="1">
        <f>[2]ssp2_popnum!T185</f>
        <v>97409.394175786918</v>
      </c>
      <c r="F186" s="1">
        <f>[2]ssp2_popnum!Y185</f>
        <v>91109.481666670268</v>
      </c>
    </row>
    <row r="187" spans="1:6">
      <c r="A187">
        <f>[2]ssp2_popnum!A186</f>
        <v>795</v>
      </c>
      <c r="B187" t="str">
        <f>[2]ssp2_popnum!B186</f>
        <v xml:space="preserve">Turkmenistan                            </v>
      </c>
      <c r="C187">
        <f>[2]ssp2_popnum!C186</f>
        <v>15</v>
      </c>
      <c r="D187" s="1">
        <f>[2]ssp2_popnum!O186</f>
        <v>5087.21</v>
      </c>
      <c r="E187" s="1">
        <f>[2]ssp2_popnum!T186</f>
        <v>6449.646451166951</v>
      </c>
      <c r="F187" s="1">
        <f>[2]ssp2_popnum!Y186</f>
        <v>5681.1302488631327</v>
      </c>
    </row>
    <row r="188" spans="1:6">
      <c r="A188">
        <f>[2]ssp2_popnum!A187</f>
        <v>796</v>
      </c>
      <c r="B188" t="str">
        <f>[2]ssp2_popnum!B187</f>
        <v xml:space="preserve">Turks and Caicos Islands                                    </v>
      </c>
      <c r="C188">
        <f>[2]ssp2_popnum!C187</f>
        <v>4</v>
      </c>
      <c r="D188" s="1">
        <f>[2]ssp2_popnum!O187</f>
        <v>30.994</v>
      </c>
      <c r="E188" s="1">
        <f>[2]ssp2_popnum!T187</f>
        <v>39.766007867494828</v>
      </c>
      <c r="F188" s="1">
        <f>[2]ssp2_popnum!Y187</f>
        <v>37.156813883399217</v>
      </c>
    </row>
    <row r="189" spans="1:6">
      <c r="A189">
        <f>[2]ssp2_popnum!A188</f>
        <v>800</v>
      </c>
      <c r="B189" t="str">
        <f>[2]ssp2_popnum!B188</f>
        <v xml:space="preserve">Uganda                                          </v>
      </c>
      <c r="C189">
        <f>[2]ssp2_popnum!C188</f>
        <v>9</v>
      </c>
      <c r="D189" s="1">
        <f>[2]ssp2_popnum!O188</f>
        <v>33915.133000000002</v>
      </c>
      <c r="E189" s="1">
        <f>[2]ssp2_popnum!T188</f>
        <v>71675.869314933763</v>
      </c>
      <c r="F189" s="1">
        <f>[2]ssp2_popnum!Y188</f>
        <v>95383.173289759536</v>
      </c>
    </row>
    <row r="190" spans="1:6">
      <c r="A190">
        <f>[2]ssp2_popnum!A189</f>
        <v>804</v>
      </c>
      <c r="B190" t="str">
        <f>[2]ssp2_popnum!B189</f>
        <v xml:space="preserve">Ukraine                                 </v>
      </c>
      <c r="C190">
        <f>[2]ssp2_popnum!C189</f>
        <v>14</v>
      </c>
      <c r="D190" s="1">
        <f>[2]ssp2_popnum!O189</f>
        <v>45792.500999999997</v>
      </c>
      <c r="E190" s="1">
        <f>[2]ssp2_popnum!T189</f>
        <v>38869.724179909688</v>
      </c>
      <c r="F190" s="1">
        <f>[2]ssp2_popnum!Y189</f>
        <v>31694.413483201006</v>
      </c>
    </row>
    <row r="191" spans="1:6">
      <c r="A191">
        <f>[2]ssp2_popnum!A190</f>
        <v>807</v>
      </c>
      <c r="B191" t="str">
        <f>[2]ssp2_popnum!B190</f>
        <v>Macedonia. F. Yug. Rep. of</v>
      </c>
      <c r="C191">
        <f>[2]ssp2_popnum!C190</f>
        <v>12</v>
      </c>
      <c r="D191" s="1">
        <f>[2]ssp2_popnum!O190</f>
        <v>2070.739</v>
      </c>
      <c r="E191" s="1">
        <f>[2]ssp2_popnum!T190</f>
        <v>1904.4045214957625</v>
      </c>
      <c r="F191" s="1">
        <f>[2]ssp2_popnum!Y190</f>
        <v>1466.2981290412501</v>
      </c>
    </row>
    <row r="192" spans="1:6">
      <c r="A192">
        <f>[2]ssp2_popnum!A191</f>
        <v>818</v>
      </c>
      <c r="B192" t="str">
        <f>[2]ssp2_popnum!B191</f>
        <v xml:space="preserve">Egypt                                      </v>
      </c>
      <c r="C192">
        <f>[2]ssp2_popnum!C191</f>
        <v>7</v>
      </c>
      <c r="D192" s="1">
        <f>[2]ssp2_popnum!O191</f>
        <v>84107.606</v>
      </c>
      <c r="E192" s="1">
        <f>[2]ssp2_popnum!T191</f>
        <v>121689.8096275439</v>
      </c>
      <c r="F192" s="1">
        <f>[2]ssp2_popnum!Y191</f>
        <v>118692.67338595967</v>
      </c>
    </row>
    <row r="193" spans="1:6">
      <c r="A193">
        <f>[2]ssp2_popnum!A192</f>
        <v>826</v>
      </c>
      <c r="B193" t="str">
        <f>[2]ssp2_popnum!B192</f>
        <v>United Kingdom</v>
      </c>
      <c r="C193">
        <f>[2]ssp2_popnum!C192</f>
        <v>11</v>
      </c>
      <c r="D193" s="1">
        <f>[2]ssp2_popnum!O192</f>
        <v>63306.843000000001</v>
      </c>
      <c r="E193" s="1">
        <f>[2]ssp2_popnum!T192</f>
        <v>70335.729319847276</v>
      </c>
      <c r="F193" s="1">
        <f>[2]ssp2_popnum!Y192</f>
        <v>68993.245191730908</v>
      </c>
    </row>
    <row r="194" spans="1:6">
      <c r="A194">
        <f>[2]ssp2_popnum!A193</f>
        <v>834</v>
      </c>
      <c r="B194" t="str">
        <f>[2]ssp2_popnum!B193</f>
        <v>Tanzania</v>
      </c>
      <c r="C194">
        <f>[2]ssp2_popnum!C193</f>
        <v>26</v>
      </c>
      <c r="D194" s="1">
        <f>[2]ssp2_popnum!O193</f>
        <v>46098.591</v>
      </c>
      <c r="E194" s="1">
        <f>[2]ssp2_popnum!T193</f>
        <v>99078.534386402214</v>
      </c>
      <c r="F194" s="1">
        <f>[2]ssp2_popnum!Y193</f>
        <v>134128.71674491305</v>
      </c>
    </row>
    <row r="195" spans="1:6">
      <c r="A195">
        <f>[2]ssp2_popnum!A194</f>
        <v>840</v>
      </c>
      <c r="B195" t="str">
        <f>[2]ssp2_popnum!B194</f>
        <v>United States</v>
      </c>
      <c r="C195">
        <f>[2]ssp2_popnum!C194</f>
        <v>2</v>
      </c>
      <c r="D195" s="1">
        <f>[2]ssp2_popnum!O194</f>
        <v>308641.391</v>
      </c>
      <c r="E195" s="1">
        <f>[2]ssp2_popnum!T194</f>
        <v>398683.85464080365</v>
      </c>
      <c r="F195" s="1">
        <f>[2]ssp2_popnum!Y194</f>
        <v>454432.54150907934</v>
      </c>
    </row>
    <row r="196" spans="1:6">
      <c r="A196">
        <f>[2]ssp2_popnum!A195</f>
        <v>850</v>
      </c>
      <c r="B196" t="str">
        <f>[2]ssp2_popnum!B195</f>
        <v>Virgin Islands. U.S.</v>
      </c>
      <c r="C196">
        <f>[2]ssp2_popnum!C195</f>
        <v>4</v>
      </c>
      <c r="D196" s="1">
        <f>[2]ssp2_popnum!O195</f>
        <v>106.149</v>
      </c>
      <c r="E196" s="1">
        <f>[2]ssp2_popnum!T195</f>
        <v>136.1915844720497</v>
      </c>
      <c r="F196" s="1">
        <f>[2]ssp2_popnum!Y195</f>
        <v>127.25555387845851</v>
      </c>
    </row>
    <row r="197" spans="1:6">
      <c r="A197">
        <f>[2]ssp2_popnum!A196</f>
        <v>854</v>
      </c>
      <c r="B197" t="str">
        <f>[2]ssp2_popnum!B196</f>
        <v xml:space="preserve">Burkina Faso                            </v>
      </c>
      <c r="C197">
        <f>[2]ssp2_popnum!C196</f>
        <v>8</v>
      </c>
      <c r="D197" s="1">
        <f>[2]ssp2_popnum!O196</f>
        <v>15605.217000000001</v>
      </c>
      <c r="E197" s="1">
        <f>[2]ssp2_popnum!T196</f>
        <v>34770.557810209211</v>
      </c>
      <c r="F197" s="1">
        <f>[2]ssp2_popnum!Y196</f>
        <v>49292.220354808764</v>
      </c>
    </row>
    <row r="198" spans="1:6">
      <c r="A198">
        <f>[2]ssp2_popnum!A197</f>
        <v>858</v>
      </c>
      <c r="B198" t="str">
        <f>[2]ssp2_popnum!B197</f>
        <v xml:space="preserve">Uruguay                                 </v>
      </c>
      <c r="C198">
        <f>[2]ssp2_popnum!C197</f>
        <v>6</v>
      </c>
      <c r="D198" s="1">
        <f>[2]ssp2_popnum!O197</f>
        <v>3374.415</v>
      </c>
      <c r="E198" s="1">
        <f>[2]ssp2_popnum!T197</f>
        <v>4430.4761237530483</v>
      </c>
      <c r="F198" s="1">
        <f>[2]ssp2_popnum!Y197</f>
        <v>4144.9963033141203</v>
      </c>
    </row>
    <row r="199" spans="1:6">
      <c r="A199">
        <f>[2]ssp2_popnum!A198</f>
        <v>860</v>
      </c>
      <c r="B199" t="str">
        <f>[2]ssp2_popnum!B198</f>
        <v xml:space="preserve">Uzbekistan                                      </v>
      </c>
      <c r="C199">
        <f>[2]ssp2_popnum!C198</f>
        <v>15</v>
      </c>
      <c r="D199" s="1">
        <f>[2]ssp2_popnum!O198</f>
        <v>28606.294000000002</v>
      </c>
      <c r="E199" s="1">
        <f>[2]ssp2_popnum!T198</f>
        <v>36267.51845867154</v>
      </c>
      <c r="F199" s="1">
        <f>[2]ssp2_popnum!Y198</f>
        <v>31946.01405313953</v>
      </c>
    </row>
    <row r="200" spans="1:6">
      <c r="A200">
        <f>[2]ssp2_popnum!A199</f>
        <v>862</v>
      </c>
      <c r="B200" t="str">
        <f>[2]ssp2_popnum!B199</f>
        <v xml:space="preserve">Venezuela                                       </v>
      </c>
      <c r="C200">
        <f>[2]ssp2_popnum!C199</f>
        <v>6</v>
      </c>
      <c r="D200" s="1">
        <f>[2]ssp2_popnum!O199</f>
        <v>29028.032999999999</v>
      </c>
      <c r="E200" s="1">
        <f>[2]ssp2_popnum!T199</f>
        <v>38112.682383765947</v>
      </c>
      <c r="F200" s="1">
        <f>[2]ssp2_popnum!Y199</f>
        <v>35656.873703287914</v>
      </c>
    </row>
    <row r="201" spans="1:6">
      <c r="A201">
        <f>[2]ssp2_popnum!A200</f>
        <v>882</v>
      </c>
      <c r="B201" t="str">
        <f>[2]ssp2_popnum!B200</f>
        <v xml:space="preserve">Samoa                          </v>
      </c>
      <c r="C201">
        <f>[2]ssp2_popnum!C200</f>
        <v>24</v>
      </c>
      <c r="D201" s="1">
        <f>[2]ssp2_popnum!O200</f>
        <v>186.20500000000001</v>
      </c>
      <c r="E201" s="1">
        <f>[2]ssp2_popnum!T200</f>
        <v>288.44035484810513</v>
      </c>
      <c r="F201" s="1">
        <f>[2]ssp2_popnum!Y200</f>
        <v>333.70884808141699</v>
      </c>
    </row>
    <row r="202" spans="1:6">
      <c r="A202">
        <f>[2]ssp2_popnum!A201</f>
        <v>887</v>
      </c>
      <c r="B202" t="str">
        <f>[2]ssp2_popnum!B201</f>
        <v xml:space="preserve">Yemen                                           </v>
      </c>
      <c r="C202">
        <f>[2]ssp2_popnum!C201</f>
        <v>17</v>
      </c>
      <c r="D202" s="1">
        <f>[2]ssp2_popnum!O201</f>
        <v>23606.778999999999</v>
      </c>
      <c r="E202" s="1">
        <f>[2]ssp2_popnum!T201</f>
        <v>41391.565918688626</v>
      </c>
      <c r="F202" s="1">
        <f>[2]ssp2_popnum!Y201</f>
        <v>46287.094439381603</v>
      </c>
    </row>
    <row r="203" spans="1:6">
      <c r="A203">
        <f>[2]ssp2_popnum!A202</f>
        <v>891</v>
      </c>
      <c r="B203" t="str">
        <f>[2]ssp2_popnum!B202</f>
        <v xml:space="preserve">Yugoslavia                              </v>
      </c>
      <c r="C203">
        <f>[2]ssp2_popnum!C202</f>
        <v>12</v>
      </c>
      <c r="D203" s="1">
        <f>[2]ssp2_popnum!O202</f>
        <v>9654.0010000000002</v>
      </c>
      <c r="E203" s="1">
        <f>[2]ssp2_popnum!T202</f>
        <v>8878.5323282773024</v>
      </c>
      <c r="F203" s="1">
        <f>[2]ssp2_popnum!Y202</f>
        <v>6836.0346736418051</v>
      </c>
    </row>
    <row r="204" spans="1:6">
      <c r="A204">
        <f>[2]ssp2_popnum!A203</f>
        <v>894</v>
      </c>
      <c r="B204" t="str">
        <f>[2]ssp2_popnum!B203</f>
        <v xml:space="preserve">Zambia                                          </v>
      </c>
      <c r="C204">
        <f>[2]ssp2_popnum!C203</f>
        <v>26</v>
      </c>
      <c r="D204" s="1">
        <f>[2]ssp2_popnum!O203</f>
        <v>13850.032999999999</v>
      </c>
      <c r="E204" s="1">
        <f>[2]ssp2_popnum!T203</f>
        <v>29767.525233977442</v>
      </c>
      <c r="F204" s="1">
        <f>[2]ssp2_popnum!Y203</f>
        <v>40298.133041955625</v>
      </c>
    </row>
  </sheetData>
  <pageMargins left="0.7" right="0.7" top="0.75" bottom="0.75" header="0.3" footer="0.3"/>
  <customProperties>
    <customPr name="EpmWorksheetKeyString_GUID" r:id="rId1"/>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F48B3-A226-49BB-BB3E-70CAA8CD86AB}">
  <dimension ref="A1:U204"/>
  <sheetViews>
    <sheetView workbookViewId="0"/>
  </sheetViews>
  <sheetFormatPr defaultRowHeight="15"/>
  <sheetData>
    <row r="1" spans="1:21">
      <c r="A1" t="s">
        <v>44</v>
      </c>
      <c r="B1" t="s">
        <v>278</v>
      </c>
      <c r="C1" t="s">
        <v>46</v>
      </c>
    </row>
    <row r="2" spans="1:21">
      <c r="A2" t="s">
        <v>44</v>
      </c>
      <c r="B2" t="s">
        <v>279</v>
      </c>
    </row>
    <row r="3" spans="1:21">
      <c r="A3" t="s">
        <v>44</v>
      </c>
      <c r="B3" t="s">
        <v>280</v>
      </c>
      <c r="D3" t="s">
        <v>281</v>
      </c>
      <c r="E3" t="s">
        <v>282</v>
      </c>
      <c r="F3" t="s">
        <v>283</v>
      </c>
    </row>
    <row r="4" spans="1:21">
      <c r="A4" t="s">
        <v>50</v>
      </c>
      <c r="B4" t="s">
        <v>51</v>
      </c>
      <c r="C4" t="s">
        <v>52</v>
      </c>
      <c r="D4">
        <v>2010</v>
      </c>
      <c r="E4">
        <v>2050</v>
      </c>
      <c r="F4">
        <v>2100</v>
      </c>
    </row>
    <row r="5" spans="1:21">
      <c r="A5">
        <v>4</v>
      </c>
      <c r="B5" t="s">
        <v>53</v>
      </c>
      <c r="C5">
        <v>25</v>
      </c>
      <c r="D5" s="1">
        <v>0.22600000000000001</v>
      </c>
      <c r="E5" s="1">
        <v>0.43340000000000001</v>
      </c>
      <c r="F5" s="1">
        <v>0.64251000000000003</v>
      </c>
    </row>
    <row r="6" spans="1:21">
      <c r="A6">
        <v>8</v>
      </c>
      <c r="B6" t="s">
        <v>54</v>
      </c>
      <c r="C6">
        <v>12</v>
      </c>
      <c r="D6" s="1">
        <v>0.51910999999999996</v>
      </c>
      <c r="E6" s="1">
        <v>0.72409999999999997</v>
      </c>
      <c r="F6" s="1">
        <v>0.80071999999999999</v>
      </c>
      <c r="I6" s="1"/>
      <c r="J6" s="1"/>
      <c r="K6" s="1"/>
      <c r="L6" s="1"/>
      <c r="M6" s="1"/>
      <c r="N6" s="1"/>
      <c r="O6" s="1"/>
      <c r="P6" s="1"/>
      <c r="Q6" s="1"/>
      <c r="R6" s="1"/>
      <c r="S6" s="1"/>
      <c r="T6" s="1"/>
      <c r="U6" s="1"/>
    </row>
    <row r="7" spans="1:21">
      <c r="A7">
        <v>12</v>
      </c>
      <c r="B7" t="s">
        <v>55</v>
      </c>
      <c r="C7">
        <v>7</v>
      </c>
      <c r="D7" s="1">
        <v>0.66496999999999995</v>
      </c>
      <c r="E7" s="1">
        <v>0.80520999999999998</v>
      </c>
      <c r="F7" s="1">
        <v>0.90073000000000003</v>
      </c>
      <c r="I7" s="1"/>
      <c r="J7" s="1"/>
      <c r="K7" s="1"/>
      <c r="L7" s="1"/>
      <c r="M7" s="1"/>
      <c r="N7" s="1"/>
      <c r="O7" s="1"/>
      <c r="P7" s="1"/>
      <c r="Q7" s="1"/>
      <c r="R7" s="1"/>
      <c r="S7" s="1"/>
      <c r="T7" s="1"/>
      <c r="U7" s="1"/>
    </row>
    <row r="8" spans="1:21">
      <c r="A8">
        <v>16</v>
      </c>
      <c r="B8" t="s">
        <v>56</v>
      </c>
      <c r="C8">
        <v>24</v>
      </c>
      <c r="D8" s="1">
        <v>0.92974000000000001</v>
      </c>
      <c r="E8" s="1">
        <v>0.96808000000000005</v>
      </c>
      <c r="F8" s="1">
        <v>0.96808000000000005</v>
      </c>
      <c r="I8" s="1"/>
      <c r="J8" s="1"/>
      <c r="K8" s="1"/>
      <c r="L8" s="1"/>
      <c r="M8" s="1"/>
      <c r="N8" s="1"/>
      <c r="O8" s="1"/>
      <c r="P8" s="1"/>
      <c r="Q8" s="1"/>
      <c r="R8" s="1"/>
      <c r="S8" s="1"/>
      <c r="T8" s="1"/>
      <c r="U8" s="1"/>
    </row>
    <row r="9" spans="1:21">
      <c r="A9">
        <v>20</v>
      </c>
      <c r="B9" t="s">
        <v>57</v>
      </c>
      <c r="C9">
        <v>11</v>
      </c>
      <c r="D9" s="1">
        <v>0.88004000000000004</v>
      </c>
      <c r="E9" s="1">
        <v>0.87765000000000004</v>
      </c>
      <c r="F9" s="1">
        <v>0.89220999999999995</v>
      </c>
    </row>
    <row r="10" spans="1:21">
      <c r="A10">
        <v>24</v>
      </c>
      <c r="B10" t="s">
        <v>58</v>
      </c>
      <c r="C10">
        <v>26</v>
      </c>
      <c r="D10" s="1">
        <v>0.58504</v>
      </c>
      <c r="E10" s="1">
        <v>0.76668999999999998</v>
      </c>
      <c r="F10" s="1">
        <v>0.83374999999999999</v>
      </c>
    </row>
    <row r="11" spans="1:21">
      <c r="A11">
        <v>31</v>
      </c>
      <c r="B11" t="s">
        <v>59</v>
      </c>
      <c r="C11">
        <v>16</v>
      </c>
      <c r="D11" s="1">
        <v>0.51931000000000005</v>
      </c>
      <c r="E11" s="1">
        <v>0.70650999999999997</v>
      </c>
      <c r="F11" s="1">
        <v>0.78417000000000003</v>
      </c>
    </row>
    <row r="12" spans="1:21">
      <c r="A12">
        <v>32</v>
      </c>
      <c r="B12" t="s">
        <v>60</v>
      </c>
      <c r="C12">
        <v>6</v>
      </c>
      <c r="D12" s="1">
        <v>0.92393000000000003</v>
      </c>
      <c r="E12" s="1">
        <v>0.97275</v>
      </c>
      <c r="F12" s="1">
        <v>0.99277000000000004</v>
      </c>
    </row>
    <row r="13" spans="1:21">
      <c r="A13">
        <v>36</v>
      </c>
      <c r="B13" t="s">
        <v>61</v>
      </c>
      <c r="C13">
        <v>24</v>
      </c>
      <c r="D13" s="1">
        <v>0.89107999999999998</v>
      </c>
      <c r="E13" s="1">
        <v>0.94425999999999999</v>
      </c>
      <c r="F13" s="1">
        <v>0.97679000000000005</v>
      </c>
    </row>
    <row r="14" spans="1:21">
      <c r="A14">
        <v>40</v>
      </c>
      <c r="B14" t="s">
        <v>62</v>
      </c>
      <c r="C14">
        <v>11</v>
      </c>
      <c r="D14" s="1">
        <v>0.67552999999999996</v>
      </c>
      <c r="E14" s="1">
        <v>0.79257</v>
      </c>
      <c r="F14" s="1">
        <v>0.88336999999999999</v>
      </c>
    </row>
    <row r="15" spans="1:21">
      <c r="A15">
        <v>44</v>
      </c>
      <c r="B15" t="s">
        <v>63</v>
      </c>
      <c r="C15">
        <v>4</v>
      </c>
      <c r="D15" s="1">
        <v>0.84099000000000002</v>
      </c>
      <c r="E15" s="1">
        <v>0.90932999999999997</v>
      </c>
      <c r="F15" s="1">
        <v>0.90932999999999997</v>
      </c>
    </row>
    <row r="16" spans="1:21">
      <c r="A16">
        <v>48</v>
      </c>
      <c r="B16" t="s">
        <v>64</v>
      </c>
      <c r="C16">
        <v>17</v>
      </c>
      <c r="D16" s="1">
        <v>0.88614000000000004</v>
      </c>
      <c r="E16" s="1">
        <v>0.92756000000000005</v>
      </c>
      <c r="F16" s="1">
        <v>0.92756000000000005</v>
      </c>
    </row>
    <row r="17" spans="1:6">
      <c r="A17">
        <v>50</v>
      </c>
      <c r="B17" t="s">
        <v>65</v>
      </c>
      <c r="C17">
        <v>25</v>
      </c>
      <c r="D17" s="1">
        <v>0.28066999999999998</v>
      </c>
      <c r="E17" s="1">
        <v>0.51710999999999996</v>
      </c>
      <c r="F17" s="1">
        <v>0.70508999999999999</v>
      </c>
    </row>
    <row r="18" spans="1:6">
      <c r="A18">
        <v>51</v>
      </c>
      <c r="B18" t="s">
        <v>66</v>
      </c>
      <c r="C18">
        <v>16</v>
      </c>
      <c r="D18" s="1">
        <v>0.64190999999999998</v>
      </c>
      <c r="E18" s="1">
        <v>0.79342999999999997</v>
      </c>
      <c r="F18" s="1">
        <v>0.88915999999999995</v>
      </c>
    </row>
    <row r="19" spans="1:6">
      <c r="A19">
        <v>52</v>
      </c>
      <c r="B19" t="s">
        <v>67</v>
      </c>
      <c r="C19">
        <v>4</v>
      </c>
      <c r="D19" s="1">
        <v>0.44468999999999997</v>
      </c>
      <c r="E19" s="1">
        <v>0.70421999999999996</v>
      </c>
      <c r="F19" s="1">
        <v>0.83174000000000003</v>
      </c>
    </row>
    <row r="20" spans="1:6">
      <c r="A20">
        <v>56</v>
      </c>
      <c r="B20" t="s">
        <v>68</v>
      </c>
      <c r="C20">
        <v>11</v>
      </c>
      <c r="D20" s="1">
        <v>0.97411000000000003</v>
      </c>
      <c r="E20" s="1">
        <v>0.98324999999999996</v>
      </c>
      <c r="F20" s="1">
        <v>0.99033000000000004</v>
      </c>
    </row>
    <row r="21" spans="1:6">
      <c r="A21">
        <v>64</v>
      </c>
      <c r="B21" t="s">
        <v>69</v>
      </c>
      <c r="C21">
        <v>25</v>
      </c>
      <c r="D21" s="1">
        <v>0.34706999999999999</v>
      </c>
      <c r="E21" s="1">
        <v>0.64170000000000005</v>
      </c>
      <c r="F21" s="1">
        <v>0.80993999999999999</v>
      </c>
    </row>
    <row r="22" spans="1:6">
      <c r="A22">
        <v>68</v>
      </c>
      <c r="B22" t="s">
        <v>70</v>
      </c>
      <c r="C22">
        <v>6</v>
      </c>
      <c r="D22" s="1">
        <v>0.66544999999999999</v>
      </c>
      <c r="E22" s="1">
        <v>0.79468000000000005</v>
      </c>
      <c r="F22" s="1">
        <v>0.88848000000000005</v>
      </c>
    </row>
    <row r="23" spans="1:6">
      <c r="A23">
        <v>70</v>
      </c>
      <c r="B23" t="s">
        <v>71</v>
      </c>
      <c r="C23">
        <v>12</v>
      </c>
      <c r="D23" s="1">
        <v>0.48620999999999998</v>
      </c>
      <c r="E23" s="1">
        <v>0.68196000000000001</v>
      </c>
      <c r="F23" s="1">
        <v>0.80618000000000001</v>
      </c>
    </row>
    <row r="24" spans="1:6">
      <c r="A24">
        <v>72</v>
      </c>
      <c r="B24" t="s">
        <v>72</v>
      </c>
      <c r="C24">
        <v>26</v>
      </c>
      <c r="D24" s="1">
        <v>0.61133999999999999</v>
      </c>
      <c r="E24" s="1">
        <v>0.78032999999999997</v>
      </c>
      <c r="F24" s="1">
        <v>0.86343000000000003</v>
      </c>
    </row>
    <row r="25" spans="1:6">
      <c r="A25">
        <v>76</v>
      </c>
      <c r="B25" t="s">
        <v>73</v>
      </c>
      <c r="C25">
        <v>5</v>
      </c>
      <c r="D25" s="1">
        <v>0.86529</v>
      </c>
      <c r="E25" s="1">
        <v>0.92157</v>
      </c>
      <c r="F25" s="1">
        <v>0.94423000000000001</v>
      </c>
    </row>
    <row r="26" spans="1:6">
      <c r="A26">
        <v>84</v>
      </c>
      <c r="B26" t="s">
        <v>74</v>
      </c>
      <c r="C26">
        <v>4</v>
      </c>
      <c r="D26" s="1">
        <v>0.52249000000000001</v>
      </c>
      <c r="E26" s="1">
        <v>0.72718000000000005</v>
      </c>
      <c r="F26" s="1">
        <v>0.83974000000000004</v>
      </c>
    </row>
    <row r="27" spans="1:6">
      <c r="A27">
        <v>90</v>
      </c>
      <c r="B27" t="s">
        <v>75</v>
      </c>
      <c r="C27">
        <v>24</v>
      </c>
      <c r="D27" s="1">
        <v>0.18551000000000001</v>
      </c>
      <c r="E27" s="1">
        <v>0.44307000000000002</v>
      </c>
      <c r="F27" s="1">
        <v>0.73351999999999995</v>
      </c>
    </row>
    <row r="28" spans="1:6">
      <c r="A28">
        <v>96</v>
      </c>
      <c r="B28" t="s">
        <v>76</v>
      </c>
      <c r="C28">
        <v>21</v>
      </c>
      <c r="D28" s="1">
        <v>0.75653999999999999</v>
      </c>
      <c r="E28" s="1">
        <v>0.87209999999999999</v>
      </c>
      <c r="F28" s="1">
        <v>0.89027000000000001</v>
      </c>
    </row>
    <row r="29" spans="1:6">
      <c r="A29">
        <v>100</v>
      </c>
      <c r="B29" t="s">
        <v>77</v>
      </c>
      <c r="C29">
        <v>12</v>
      </c>
      <c r="D29" s="1">
        <v>0.71457999999999999</v>
      </c>
      <c r="E29" s="1">
        <v>0.83109999999999995</v>
      </c>
      <c r="F29" s="1">
        <v>0.90003999999999995</v>
      </c>
    </row>
    <row r="30" spans="1:6">
      <c r="A30">
        <v>104</v>
      </c>
      <c r="B30" t="s">
        <v>78</v>
      </c>
      <c r="C30">
        <v>21</v>
      </c>
      <c r="D30" s="1">
        <v>0.33646999999999999</v>
      </c>
      <c r="E30" s="1">
        <v>0.56288000000000005</v>
      </c>
      <c r="F30" s="1">
        <v>0.72775000000000001</v>
      </c>
    </row>
    <row r="31" spans="1:6">
      <c r="A31">
        <v>108</v>
      </c>
      <c r="B31" t="s">
        <v>79</v>
      </c>
      <c r="C31">
        <v>9</v>
      </c>
      <c r="D31" s="1">
        <v>0.10999</v>
      </c>
      <c r="E31" s="1">
        <v>0.30253000000000002</v>
      </c>
      <c r="F31" s="1">
        <v>0.54332999999999998</v>
      </c>
    </row>
    <row r="32" spans="1:6">
      <c r="A32">
        <v>112</v>
      </c>
      <c r="B32" t="s">
        <v>80</v>
      </c>
      <c r="C32">
        <v>14</v>
      </c>
      <c r="D32" s="1">
        <v>0.74695</v>
      </c>
      <c r="E32" s="1">
        <v>0.86338999999999999</v>
      </c>
      <c r="F32" s="1">
        <v>0.93935000000000002</v>
      </c>
    </row>
    <row r="33" spans="1:6">
      <c r="A33">
        <v>116</v>
      </c>
      <c r="B33" t="s">
        <v>81</v>
      </c>
      <c r="C33">
        <v>21</v>
      </c>
      <c r="D33" s="1">
        <v>0.20108000000000001</v>
      </c>
      <c r="E33" s="1">
        <v>0.39071</v>
      </c>
      <c r="F33" s="1">
        <v>0.64663000000000004</v>
      </c>
    </row>
    <row r="34" spans="1:6">
      <c r="A34">
        <v>120</v>
      </c>
      <c r="B34" t="s">
        <v>82</v>
      </c>
      <c r="C34">
        <v>8</v>
      </c>
      <c r="D34" s="1">
        <v>0.58396999999999999</v>
      </c>
      <c r="E34" s="1">
        <v>0.75968000000000002</v>
      </c>
      <c r="F34" s="1">
        <v>0.82493000000000005</v>
      </c>
    </row>
    <row r="35" spans="1:6">
      <c r="A35">
        <v>124</v>
      </c>
      <c r="B35" t="s">
        <v>83</v>
      </c>
      <c r="C35">
        <v>1</v>
      </c>
      <c r="D35" s="1">
        <v>0.80581999999999998</v>
      </c>
      <c r="E35" s="1">
        <v>0.90758000000000005</v>
      </c>
      <c r="F35" s="1">
        <v>0.96357000000000004</v>
      </c>
    </row>
    <row r="36" spans="1:6">
      <c r="A36">
        <v>132</v>
      </c>
      <c r="B36" t="s">
        <v>84</v>
      </c>
      <c r="C36">
        <v>8</v>
      </c>
      <c r="D36" s="1">
        <v>0.61089000000000004</v>
      </c>
      <c r="E36" s="1">
        <v>0.80842999999999998</v>
      </c>
      <c r="F36" s="1">
        <v>0.86807000000000001</v>
      </c>
    </row>
    <row r="37" spans="1:6">
      <c r="A37">
        <v>140</v>
      </c>
      <c r="B37" t="s">
        <v>85</v>
      </c>
      <c r="C37">
        <v>8</v>
      </c>
      <c r="D37" s="1">
        <v>0.38943</v>
      </c>
      <c r="E37" s="1">
        <v>0.59843000000000002</v>
      </c>
      <c r="F37" s="1">
        <v>0.74492999999999998</v>
      </c>
    </row>
    <row r="38" spans="1:6">
      <c r="A38">
        <v>144</v>
      </c>
      <c r="B38" t="s">
        <v>86</v>
      </c>
      <c r="C38">
        <v>25</v>
      </c>
      <c r="D38" s="1">
        <v>0.14312</v>
      </c>
      <c r="E38" s="1">
        <v>0.32874999999999999</v>
      </c>
      <c r="F38" s="1">
        <v>0.57887999999999995</v>
      </c>
    </row>
    <row r="39" spans="1:6">
      <c r="A39">
        <v>148</v>
      </c>
      <c r="B39" t="s">
        <v>87</v>
      </c>
      <c r="C39">
        <v>8</v>
      </c>
      <c r="D39" s="1">
        <v>0.27625</v>
      </c>
      <c r="E39" s="1">
        <v>0.51483000000000001</v>
      </c>
      <c r="F39" s="1">
        <v>0.70501000000000003</v>
      </c>
    </row>
    <row r="40" spans="1:6">
      <c r="A40">
        <v>152</v>
      </c>
      <c r="B40" t="s">
        <v>88</v>
      </c>
      <c r="C40">
        <v>6</v>
      </c>
      <c r="D40" s="1">
        <v>0.89004000000000005</v>
      </c>
      <c r="E40" s="1">
        <v>0.95909</v>
      </c>
      <c r="F40" s="1">
        <v>0.98884000000000005</v>
      </c>
    </row>
    <row r="41" spans="1:6">
      <c r="A41">
        <v>156</v>
      </c>
      <c r="B41" t="s">
        <v>89</v>
      </c>
      <c r="C41">
        <v>20</v>
      </c>
      <c r="D41" s="1">
        <v>0.46955000000000002</v>
      </c>
      <c r="E41" s="1">
        <v>0.69847999999999999</v>
      </c>
      <c r="F41" s="1">
        <v>0.80784</v>
      </c>
    </row>
    <row r="42" spans="1:6">
      <c r="A42">
        <v>158</v>
      </c>
      <c r="B42" t="s">
        <v>90</v>
      </c>
      <c r="C42">
        <v>20</v>
      </c>
      <c r="D42" s="1">
        <v>0.46955000000000002</v>
      </c>
      <c r="E42" s="1">
        <v>0.73229999999999995</v>
      </c>
      <c r="F42" s="1">
        <v>0.84153</v>
      </c>
    </row>
    <row r="43" spans="1:6">
      <c r="A43">
        <v>170</v>
      </c>
      <c r="B43" t="s">
        <v>91</v>
      </c>
      <c r="C43">
        <v>6</v>
      </c>
      <c r="D43" s="1">
        <v>0.75070999999999999</v>
      </c>
      <c r="E43" s="1">
        <v>0.87175999999999998</v>
      </c>
      <c r="F43" s="1">
        <v>0.93178000000000005</v>
      </c>
    </row>
    <row r="44" spans="1:6">
      <c r="A44">
        <v>174</v>
      </c>
      <c r="B44" t="s">
        <v>92</v>
      </c>
      <c r="C44">
        <v>9</v>
      </c>
      <c r="D44" s="1">
        <v>0.28189999999999998</v>
      </c>
      <c r="E44" s="1">
        <v>0.50700000000000001</v>
      </c>
      <c r="F44" s="1">
        <v>0.76297000000000004</v>
      </c>
    </row>
    <row r="45" spans="1:6">
      <c r="A45">
        <v>178</v>
      </c>
      <c r="B45" t="s">
        <v>93</v>
      </c>
      <c r="C45">
        <v>8</v>
      </c>
      <c r="D45" s="1">
        <v>0.62119000000000002</v>
      </c>
      <c r="E45" s="1">
        <v>0.78293999999999997</v>
      </c>
      <c r="F45" s="1">
        <v>0.87114999999999998</v>
      </c>
    </row>
    <row r="46" spans="1:6">
      <c r="A46">
        <v>180</v>
      </c>
      <c r="B46" t="s">
        <v>94</v>
      </c>
      <c r="C46">
        <v>8</v>
      </c>
      <c r="D46" s="1">
        <v>0.35217999999999999</v>
      </c>
      <c r="E46" s="1">
        <v>0.57848999999999995</v>
      </c>
      <c r="F46" s="1">
        <v>0.73868999999999996</v>
      </c>
    </row>
    <row r="47" spans="1:6">
      <c r="A47">
        <v>188</v>
      </c>
      <c r="B47" t="s">
        <v>95</v>
      </c>
      <c r="C47">
        <v>4</v>
      </c>
      <c r="D47" s="1">
        <v>0.64417000000000002</v>
      </c>
      <c r="E47" s="1">
        <v>0.79498999999999997</v>
      </c>
      <c r="F47" s="1">
        <v>0.88717999999999997</v>
      </c>
    </row>
    <row r="48" spans="1:6">
      <c r="A48">
        <v>191</v>
      </c>
      <c r="B48" t="s">
        <v>96</v>
      </c>
      <c r="C48">
        <v>12</v>
      </c>
      <c r="D48" s="1">
        <v>0.57738</v>
      </c>
      <c r="E48" s="1">
        <v>0.74761</v>
      </c>
      <c r="F48" s="1">
        <v>0.82303000000000004</v>
      </c>
    </row>
    <row r="49" spans="1:6">
      <c r="A49">
        <v>192</v>
      </c>
      <c r="B49" t="s">
        <v>97</v>
      </c>
      <c r="C49">
        <v>4</v>
      </c>
      <c r="D49" s="1">
        <v>0.75224999999999997</v>
      </c>
      <c r="E49" s="1">
        <v>0.86865999999999999</v>
      </c>
      <c r="F49" s="1">
        <v>0.93389</v>
      </c>
    </row>
    <row r="50" spans="1:6">
      <c r="A50">
        <v>196</v>
      </c>
      <c r="B50" t="s">
        <v>98</v>
      </c>
      <c r="C50">
        <v>12</v>
      </c>
      <c r="D50" s="1">
        <v>0.70320000000000005</v>
      </c>
      <c r="E50" s="1">
        <v>0.82125000000000004</v>
      </c>
      <c r="F50" s="1">
        <v>0.89034000000000002</v>
      </c>
    </row>
    <row r="51" spans="1:6">
      <c r="A51">
        <v>203</v>
      </c>
      <c r="B51" t="s">
        <v>99</v>
      </c>
      <c r="C51">
        <v>12</v>
      </c>
      <c r="D51" s="1">
        <v>0.73541000000000001</v>
      </c>
      <c r="E51" s="1">
        <v>0.85746999999999995</v>
      </c>
      <c r="F51" s="1">
        <v>0.93269999999999997</v>
      </c>
    </row>
    <row r="52" spans="1:6">
      <c r="A52">
        <v>204</v>
      </c>
      <c r="B52" t="s">
        <v>100</v>
      </c>
      <c r="C52">
        <v>8</v>
      </c>
      <c r="D52" s="1">
        <v>0.42043999999999998</v>
      </c>
      <c r="E52" s="1">
        <v>0.63271999999999995</v>
      </c>
      <c r="F52" s="1">
        <v>0.76478000000000002</v>
      </c>
    </row>
    <row r="53" spans="1:6">
      <c r="A53">
        <v>208</v>
      </c>
      <c r="B53" t="s">
        <v>101</v>
      </c>
      <c r="C53">
        <v>11</v>
      </c>
      <c r="D53" s="1">
        <v>0.86865999999999999</v>
      </c>
      <c r="E53" s="1">
        <v>0.91837000000000002</v>
      </c>
      <c r="F53" s="1">
        <v>0.93513999999999997</v>
      </c>
    </row>
    <row r="54" spans="1:6">
      <c r="A54">
        <v>212</v>
      </c>
      <c r="B54" t="s">
        <v>102</v>
      </c>
      <c r="C54">
        <v>4</v>
      </c>
      <c r="D54" s="1">
        <v>0.67235999999999996</v>
      </c>
      <c r="E54" s="1">
        <v>0.79967999999999995</v>
      </c>
      <c r="F54" s="1">
        <v>0.86502000000000001</v>
      </c>
    </row>
    <row r="55" spans="1:6">
      <c r="A55">
        <v>214</v>
      </c>
      <c r="B55" t="s">
        <v>103</v>
      </c>
      <c r="C55">
        <v>4</v>
      </c>
      <c r="D55" s="1">
        <v>0.69181000000000004</v>
      </c>
      <c r="E55" s="1">
        <v>0.81913999999999998</v>
      </c>
      <c r="F55" s="1">
        <v>0.88856999999999997</v>
      </c>
    </row>
    <row r="56" spans="1:6">
      <c r="A56">
        <v>218</v>
      </c>
      <c r="B56" t="s">
        <v>104</v>
      </c>
      <c r="C56">
        <v>6</v>
      </c>
      <c r="D56" s="1">
        <v>0.66947000000000001</v>
      </c>
      <c r="E56" s="1">
        <v>0.80189999999999995</v>
      </c>
      <c r="F56" s="1">
        <v>0.89981999999999995</v>
      </c>
    </row>
    <row r="57" spans="1:6">
      <c r="A57">
        <v>222</v>
      </c>
      <c r="B57" t="s">
        <v>105</v>
      </c>
      <c r="C57">
        <v>4</v>
      </c>
      <c r="D57" s="1">
        <v>0.64305000000000001</v>
      </c>
      <c r="E57" s="1">
        <v>0.79332000000000003</v>
      </c>
      <c r="F57" s="1">
        <v>0.88683999999999996</v>
      </c>
    </row>
    <row r="58" spans="1:6">
      <c r="A58">
        <v>226</v>
      </c>
      <c r="B58" t="s">
        <v>106</v>
      </c>
      <c r="C58">
        <v>8</v>
      </c>
      <c r="D58" s="1">
        <v>0.39701999999999998</v>
      </c>
      <c r="E58" s="1">
        <v>0.62368999999999997</v>
      </c>
      <c r="F58" s="1">
        <v>0.80366000000000004</v>
      </c>
    </row>
    <row r="59" spans="1:6">
      <c r="A59">
        <v>231</v>
      </c>
      <c r="B59" t="s">
        <v>107</v>
      </c>
      <c r="C59">
        <v>9</v>
      </c>
      <c r="D59" s="1">
        <v>0.16661000000000001</v>
      </c>
      <c r="E59" s="1">
        <v>0.36246</v>
      </c>
      <c r="F59" s="1">
        <v>0.60916000000000003</v>
      </c>
    </row>
    <row r="60" spans="1:6">
      <c r="A60">
        <v>232</v>
      </c>
      <c r="B60" t="s">
        <v>108</v>
      </c>
      <c r="C60">
        <v>9</v>
      </c>
      <c r="D60" s="1">
        <v>0.21576999999999999</v>
      </c>
      <c r="E60" s="1">
        <v>0.42309000000000002</v>
      </c>
      <c r="F60" s="1">
        <v>0.63400000000000001</v>
      </c>
    </row>
    <row r="61" spans="1:6">
      <c r="A61">
        <v>233</v>
      </c>
      <c r="B61" t="s">
        <v>109</v>
      </c>
      <c r="C61">
        <v>12</v>
      </c>
      <c r="D61" s="1">
        <v>0.69486999999999999</v>
      </c>
      <c r="E61" s="1">
        <v>0.80872999999999995</v>
      </c>
      <c r="F61" s="1">
        <v>0.89112999999999998</v>
      </c>
    </row>
    <row r="62" spans="1:6">
      <c r="A62">
        <v>234</v>
      </c>
      <c r="B62" t="s">
        <v>110</v>
      </c>
      <c r="C62">
        <v>11</v>
      </c>
      <c r="D62" s="1">
        <v>0.40316999999999997</v>
      </c>
      <c r="E62" s="1">
        <v>0.59413000000000005</v>
      </c>
      <c r="F62" s="1">
        <v>0.79335</v>
      </c>
    </row>
    <row r="63" spans="1:6">
      <c r="A63">
        <v>238</v>
      </c>
      <c r="B63" t="s">
        <v>111</v>
      </c>
      <c r="C63">
        <v>6</v>
      </c>
      <c r="D63" s="1">
        <v>0.73634999999999995</v>
      </c>
      <c r="E63" s="1">
        <v>0.86738000000000004</v>
      </c>
      <c r="F63" s="1">
        <v>0.88863000000000003</v>
      </c>
    </row>
    <row r="64" spans="1:6">
      <c r="A64">
        <v>242</v>
      </c>
      <c r="B64" t="s">
        <v>112</v>
      </c>
      <c r="C64">
        <v>24</v>
      </c>
      <c r="D64" s="1">
        <v>0.51861000000000002</v>
      </c>
      <c r="E64" s="1">
        <v>0.72199000000000002</v>
      </c>
      <c r="F64" s="1">
        <v>0.83792999999999995</v>
      </c>
    </row>
    <row r="65" spans="1:6">
      <c r="A65">
        <v>246</v>
      </c>
      <c r="B65" t="s">
        <v>113</v>
      </c>
      <c r="C65">
        <v>11</v>
      </c>
      <c r="D65" s="1">
        <v>0.85089999999999999</v>
      </c>
      <c r="E65" s="1">
        <v>0.92001999999999995</v>
      </c>
      <c r="F65" s="1">
        <v>0.96182999999999996</v>
      </c>
    </row>
    <row r="66" spans="1:6">
      <c r="A66">
        <v>250</v>
      </c>
      <c r="B66" t="s">
        <v>114</v>
      </c>
      <c r="C66">
        <v>11</v>
      </c>
      <c r="D66" s="1">
        <v>0.85250999999999999</v>
      </c>
      <c r="E66" s="1">
        <v>0.91876000000000002</v>
      </c>
      <c r="F66" s="1">
        <v>0.95516000000000001</v>
      </c>
    </row>
    <row r="67" spans="1:6">
      <c r="A67">
        <v>254</v>
      </c>
      <c r="B67" t="s">
        <v>115</v>
      </c>
      <c r="C67">
        <v>6</v>
      </c>
      <c r="D67" s="1">
        <v>0.76349999999999996</v>
      </c>
      <c r="E67" s="1">
        <v>0.86104999999999998</v>
      </c>
      <c r="F67" s="1">
        <v>0.88641999999999999</v>
      </c>
    </row>
    <row r="68" spans="1:6">
      <c r="A68">
        <v>262</v>
      </c>
      <c r="B68" t="s">
        <v>116</v>
      </c>
      <c r="C68">
        <v>9</v>
      </c>
      <c r="D68" s="1">
        <v>0.76234000000000002</v>
      </c>
      <c r="E68" s="1">
        <v>0.85043000000000002</v>
      </c>
      <c r="F68" s="1">
        <v>0.88271999999999995</v>
      </c>
    </row>
    <row r="69" spans="1:6">
      <c r="A69">
        <v>266</v>
      </c>
      <c r="B69" t="s">
        <v>117</v>
      </c>
      <c r="C69">
        <v>8</v>
      </c>
      <c r="D69" s="1">
        <v>0.86028000000000004</v>
      </c>
      <c r="E69" s="1">
        <v>0.91152</v>
      </c>
      <c r="F69" s="1">
        <v>0.91778999999999999</v>
      </c>
    </row>
    <row r="70" spans="1:6">
      <c r="A70">
        <v>268</v>
      </c>
      <c r="B70" t="s">
        <v>118</v>
      </c>
      <c r="C70">
        <v>16</v>
      </c>
      <c r="D70" s="1">
        <v>0.52746999999999999</v>
      </c>
      <c r="E70" s="1">
        <v>0.70713999999999999</v>
      </c>
      <c r="F70" s="1">
        <v>0.80345999999999995</v>
      </c>
    </row>
    <row r="71" spans="1:6">
      <c r="A71">
        <v>270</v>
      </c>
      <c r="B71" t="s">
        <v>119</v>
      </c>
      <c r="C71">
        <v>8</v>
      </c>
      <c r="D71" s="1">
        <v>0.58148999999999995</v>
      </c>
      <c r="E71" s="1">
        <v>0.75934999999999997</v>
      </c>
      <c r="F71" s="1">
        <v>0.82311000000000001</v>
      </c>
    </row>
    <row r="72" spans="1:6">
      <c r="A72">
        <v>276</v>
      </c>
      <c r="B72" t="s">
        <v>120</v>
      </c>
      <c r="C72">
        <v>11</v>
      </c>
      <c r="D72" s="1">
        <v>0.73848999999999998</v>
      </c>
      <c r="E72" s="1">
        <v>0.86056999999999995</v>
      </c>
      <c r="F72" s="1">
        <v>0.93576000000000004</v>
      </c>
    </row>
    <row r="73" spans="1:6">
      <c r="A73">
        <v>288</v>
      </c>
      <c r="B73" t="s">
        <v>121</v>
      </c>
      <c r="C73">
        <v>8</v>
      </c>
      <c r="D73" s="1">
        <v>0.51471</v>
      </c>
      <c r="E73" s="1">
        <v>0.70262000000000002</v>
      </c>
      <c r="F73" s="1">
        <v>0.79661999999999999</v>
      </c>
    </row>
    <row r="74" spans="1:6">
      <c r="A74">
        <v>300</v>
      </c>
      <c r="B74" t="s">
        <v>122</v>
      </c>
      <c r="C74">
        <v>11</v>
      </c>
      <c r="D74" s="1">
        <v>0.61414000000000002</v>
      </c>
      <c r="E74" s="1">
        <v>0.77666000000000002</v>
      </c>
      <c r="F74" s="1">
        <v>0.86463999999999996</v>
      </c>
    </row>
    <row r="75" spans="1:6">
      <c r="A75">
        <v>304</v>
      </c>
      <c r="B75" t="s">
        <v>123</v>
      </c>
      <c r="C75">
        <v>27</v>
      </c>
      <c r="D75" s="1">
        <v>0.84199999999999997</v>
      </c>
      <c r="E75" s="1">
        <v>0.91303000000000001</v>
      </c>
      <c r="F75" s="1">
        <v>0.91303000000000001</v>
      </c>
    </row>
    <row r="76" spans="1:6">
      <c r="A76">
        <v>308</v>
      </c>
      <c r="B76" t="s">
        <v>124</v>
      </c>
      <c r="C76">
        <v>4</v>
      </c>
      <c r="D76" s="1">
        <v>0.39290999999999998</v>
      </c>
      <c r="E76" s="1">
        <v>0.64498999999999995</v>
      </c>
      <c r="F76" s="1">
        <v>0.81108000000000002</v>
      </c>
    </row>
    <row r="77" spans="1:6">
      <c r="A77">
        <v>312</v>
      </c>
      <c r="B77" t="s">
        <v>125</v>
      </c>
      <c r="C77">
        <v>4</v>
      </c>
      <c r="D77" s="1">
        <v>0.98407999999999995</v>
      </c>
      <c r="E77" s="1">
        <v>0.98894000000000004</v>
      </c>
      <c r="F77" s="1">
        <v>0.98894000000000004</v>
      </c>
    </row>
    <row r="78" spans="1:6">
      <c r="A78">
        <v>320</v>
      </c>
      <c r="B78" t="s">
        <v>126</v>
      </c>
      <c r="C78">
        <v>4</v>
      </c>
      <c r="D78" s="1">
        <v>0.49458000000000002</v>
      </c>
      <c r="E78" s="1">
        <v>0.6865</v>
      </c>
      <c r="F78" s="1">
        <v>0.79371000000000003</v>
      </c>
    </row>
    <row r="79" spans="1:6">
      <c r="A79">
        <v>324</v>
      </c>
      <c r="B79" t="s">
        <v>127</v>
      </c>
      <c r="C79">
        <v>8</v>
      </c>
      <c r="D79" s="1">
        <v>0.35360999999999998</v>
      </c>
      <c r="E79" s="1">
        <v>0.57809999999999995</v>
      </c>
      <c r="F79" s="1">
        <v>0.74214000000000002</v>
      </c>
    </row>
    <row r="80" spans="1:6">
      <c r="A80">
        <v>328</v>
      </c>
      <c r="B80" t="s">
        <v>128</v>
      </c>
      <c r="C80">
        <v>6</v>
      </c>
      <c r="D80" s="1">
        <v>0.28604000000000002</v>
      </c>
      <c r="E80" s="1">
        <v>0.51275999999999999</v>
      </c>
      <c r="F80" s="1">
        <v>0.76497999999999999</v>
      </c>
    </row>
    <row r="81" spans="1:6">
      <c r="A81">
        <v>332</v>
      </c>
      <c r="B81" t="s">
        <v>129</v>
      </c>
      <c r="C81">
        <v>4</v>
      </c>
      <c r="D81" s="1">
        <v>0.52087000000000006</v>
      </c>
      <c r="E81" s="1">
        <v>0.74792999999999998</v>
      </c>
      <c r="F81" s="1">
        <v>0.83230000000000004</v>
      </c>
    </row>
    <row r="82" spans="1:6">
      <c r="A82">
        <v>340</v>
      </c>
      <c r="B82" t="s">
        <v>130</v>
      </c>
      <c r="C82">
        <v>4</v>
      </c>
      <c r="D82" s="1">
        <v>0.51604000000000005</v>
      </c>
      <c r="E82" s="1">
        <v>0.70540999999999998</v>
      </c>
      <c r="F82" s="1">
        <v>0.80932999999999999</v>
      </c>
    </row>
    <row r="83" spans="1:6">
      <c r="A83">
        <v>344</v>
      </c>
      <c r="B83" t="s">
        <v>131</v>
      </c>
      <c r="C83">
        <v>20</v>
      </c>
      <c r="D83" s="1">
        <v>1</v>
      </c>
      <c r="E83" s="1">
        <v>1</v>
      </c>
      <c r="F83" s="1">
        <v>1</v>
      </c>
    </row>
    <row r="84" spans="1:6">
      <c r="A84">
        <v>348</v>
      </c>
      <c r="B84" t="s">
        <v>132</v>
      </c>
      <c r="C84">
        <v>12</v>
      </c>
      <c r="D84" s="1">
        <v>0.68095000000000006</v>
      </c>
      <c r="E84" s="1">
        <v>0.79674999999999996</v>
      </c>
      <c r="F84" s="1">
        <v>0.88541000000000003</v>
      </c>
    </row>
    <row r="85" spans="1:6">
      <c r="A85">
        <v>352</v>
      </c>
      <c r="B85" t="s">
        <v>133</v>
      </c>
      <c r="C85">
        <v>11</v>
      </c>
      <c r="D85" s="1">
        <v>0.93415999999999999</v>
      </c>
      <c r="E85" s="1">
        <v>0.96135999999999999</v>
      </c>
      <c r="F85" s="1">
        <v>0.96135999999999999</v>
      </c>
    </row>
    <row r="86" spans="1:6">
      <c r="A86">
        <v>356</v>
      </c>
      <c r="B86" t="s">
        <v>134</v>
      </c>
      <c r="C86">
        <v>18</v>
      </c>
      <c r="D86" s="1">
        <v>0.30009999999999998</v>
      </c>
      <c r="E86" s="1">
        <v>0.52908999999999995</v>
      </c>
      <c r="F86" s="1">
        <v>0.74356999999999995</v>
      </c>
    </row>
    <row r="87" spans="1:6">
      <c r="A87">
        <v>360</v>
      </c>
      <c r="B87" t="s">
        <v>135</v>
      </c>
      <c r="C87">
        <v>22</v>
      </c>
      <c r="D87" s="1">
        <v>0.44280999999999998</v>
      </c>
      <c r="E87" s="1">
        <v>0.65063000000000004</v>
      </c>
      <c r="F87" s="1">
        <v>0.77212000000000003</v>
      </c>
    </row>
    <row r="88" spans="1:6">
      <c r="A88">
        <v>364</v>
      </c>
      <c r="B88" t="s">
        <v>136</v>
      </c>
      <c r="C88">
        <v>17</v>
      </c>
      <c r="D88" s="1">
        <v>0.70752999999999999</v>
      </c>
      <c r="E88" s="1">
        <v>0.82852000000000003</v>
      </c>
      <c r="F88" s="1">
        <v>0.89546000000000003</v>
      </c>
    </row>
    <row r="89" spans="1:6">
      <c r="A89">
        <v>368</v>
      </c>
      <c r="B89" t="s">
        <v>137</v>
      </c>
      <c r="C89">
        <v>17</v>
      </c>
      <c r="D89" s="1">
        <v>0.66173000000000004</v>
      </c>
      <c r="E89" s="1">
        <v>0.80971000000000004</v>
      </c>
      <c r="F89" s="1">
        <v>0.89007999999999998</v>
      </c>
    </row>
    <row r="90" spans="1:6">
      <c r="A90">
        <v>372</v>
      </c>
      <c r="B90" t="s">
        <v>138</v>
      </c>
      <c r="C90">
        <v>11</v>
      </c>
      <c r="D90" s="1">
        <v>0.61941000000000002</v>
      </c>
      <c r="E90" s="1">
        <v>0.78215999999999997</v>
      </c>
      <c r="F90" s="1">
        <v>0.87026999999999999</v>
      </c>
    </row>
    <row r="91" spans="1:6">
      <c r="A91">
        <v>376</v>
      </c>
      <c r="B91" t="s">
        <v>139</v>
      </c>
      <c r="C91">
        <v>17</v>
      </c>
      <c r="D91" s="1">
        <v>0.91852999999999996</v>
      </c>
      <c r="E91" s="1">
        <v>0.93108999999999997</v>
      </c>
      <c r="F91" s="1">
        <v>0.94427000000000005</v>
      </c>
    </row>
    <row r="92" spans="1:6">
      <c r="A92">
        <v>380</v>
      </c>
      <c r="B92" t="s">
        <v>140</v>
      </c>
      <c r="C92">
        <v>11</v>
      </c>
      <c r="D92" s="1">
        <v>0.68359999999999999</v>
      </c>
      <c r="E92" s="1">
        <v>0.79928999999999994</v>
      </c>
      <c r="F92" s="1">
        <v>0.89246000000000003</v>
      </c>
    </row>
    <row r="93" spans="1:6">
      <c r="A93">
        <v>384</v>
      </c>
      <c r="B93" t="s">
        <v>141</v>
      </c>
      <c r="C93">
        <v>8</v>
      </c>
      <c r="D93" s="1">
        <v>0.50561</v>
      </c>
      <c r="E93" s="1">
        <v>0.70084000000000002</v>
      </c>
      <c r="F93" s="1">
        <v>0.80127000000000004</v>
      </c>
    </row>
    <row r="94" spans="1:6">
      <c r="A94">
        <v>388</v>
      </c>
      <c r="B94" t="s">
        <v>142</v>
      </c>
      <c r="C94">
        <v>4</v>
      </c>
      <c r="D94" s="1">
        <v>0.52005999999999997</v>
      </c>
      <c r="E94" s="1">
        <v>0.70569999999999999</v>
      </c>
      <c r="F94" s="1">
        <v>0.78200999999999998</v>
      </c>
    </row>
    <row r="95" spans="1:6">
      <c r="A95">
        <v>392</v>
      </c>
      <c r="B95" t="s">
        <v>143</v>
      </c>
      <c r="C95">
        <v>23</v>
      </c>
      <c r="D95" s="1">
        <v>0.66832999999999998</v>
      </c>
      <c r="E95" s="1">
        <v>0.80045999999999995</v>
      </c>
      <c r="F95" s="1">
        <v>0.89722000000000002</v>
      </c>
    </row>
    <row r="96" spans="1:6">
      <c r="A96">
        <v>398</v>
      </c>
      <c r="B96" t="s">
        <v>144</v>
      </c>
      <c r="C96">
        <v>15</v>
      </c>
      <c r="D96" s="1">
        <v>0.58506000000000002</v>
      </c>
      <c r="E96" s="1">
        <v>0.76036000000000004</v>
      </c>
      <c r="F96" s="1">
        <v>0.83201999999999998</v>
      </c>
    </row>
    <row r="97" spans="1:6">
      <c r="A97">
        <v>400</v>
      </c>
      <c r="B97" t="s">
        <v>145</v>
      </c>
      <c r="C97">
        <v>17</v>
      </c>
      <c r="D97" s="1">
        <v>0.78527000000000002</v>
      </c>
      <c r="E97" s="1">
        <v>0.89097999999999999</v>
      </c>
      <c r="F97" s="1">
        <v>0.94244000000000006</v>
      </c>
    </row>
    <row r="98" spans="1:6">
      <c r="A98">
        <v>404</v>
      </c>
      <c r="B98" t="s">
        <v>146</v>
      </c>
      <c r="C98">
        <v>9</v>
      </c>
      <c r="D98" s="1">
        <v>0.2218</v>
      </c>
      <c r="E98" s="1">
        <v>0.43393999999999999</v>
      </c>
      <c r="F98" s="1">
        <v>0.63673000000000002</v>
      </c>
    </row>
    <row r="99" spans="1:6">
      <c r="A99">
        <v>408</v>
      </c>
      <c r="B99" t="s">
        <v>147</v>
      </c>
      <c r="C99">
        <v>19</v>
      </c>
      <c r="D99" s="1">
        <v>0.60214999999999996</v>
      </c>
      <c r="E99" s="1">
        <v>0.76336000000000004</v>
      </c>
      <c r="F99" s="1">
        <v>0.83228000000000002</v>
      </c>
    </row>
    <row r="100" spans="1:6">
      <c r="A100">
        <v>410</v>
      </c>
      <c r="B100" t="s">
        <v>148</v>
      </c>
      <c r="C100">
        <v>19</v>
      </c>
      <c r="D100" s="1">
        <v>0.82957999999999998</v>
      </c>
      <c r="E100" s="1">
        <v>0.91939000000000004</v>
      </c>
      <c r="F100" s="1">
        <v>0.97392000000000001</v>
      </c>
    </row>
    <row r="101" spans="1:6">
      <c r="A101">
        <v>414</v>
      </c>
      <c r="B101" t="s">
        <v>149</v>
      </c>
      <c r="C101">
        <v>17</v>
      </c>
      <c r="D101" s="1">
        <v>0.98384000000000005</v>
      </c>
      <c r="E101" s="1">
        <v>0.98990999999999996</v>
      </c>
      <c r="F101" s="1">
        <v>0.98990999999999996</v>
      </c>
    </row>
    <row r="102" spans="1:6">
      <c r="A102">
        <v>417</v>
      </c>
      <c r="B102" t="s">
        <v>150</v>
      </c>
      <c r="C102">
        <v>15</v>
      </c>
      <c r="D102" s="1">
        <v>0.34549000000000002</v>
      </c>
      <c r="E102" s="1">
        <v>0.56811</v>
      </c>
      <c r="F102" s="1">
        <v>0.74802000000000002</v>
      </c>
    </row>
    <row r="103" spans="1:6">
      <c r="A103">
        <v>418</v>
      </c>
      <c r="B103" t="s">
        <v>151</v>
      </c>
      <c r="C103">
        <v>21</v>
      </c>
      <c r="D103" s="1">
        <v>0.33184000000000002</v>
      </c>
      <c r="E103" s="1">
        <v>0.59370000000000001</v>
      </c>
      <c r="F103" s="1">
        <v>0.74865000000000004</v>
      </c>
    </row>
    <row r="104" spans="1:6">
      <c r="A104">
        <v>422</v>
      </c>
      <c r="B104" t="s">
        <v>152</v>
      </c>
      <c r="C104">
        <v>17</v>
      </c>
      <c r="D104" s="1">
        <v>0.87243999999999999</v>
      </c>
      <c r="E104" s="1">
        <v>0.92090000000000005</v>
      </c>
      <c r="F104" s="1">
        <v>0.94081999999999999</v>
      </c>
    </row>
    <row r="105" spans="1:6">
      <c r="A105">
        <v>426</v>
      </c>
      <c r="B105" t="s">
        <v>153</v>
      </c>
      <c r="C105">
        <v>26</v>
      </c>
      <c r="D105" s="1">
        <v>0.26884000000000002</v>
      </c>
      <c r="E105" s="1">
        <v>0.53412000000000004</v>
      </c>
      <c r="F105" s="1">
        <v>0.72570000000000001</v>
      </c>
    </row>
    <row r="106" spans="1:6">
      <c r="A106">
        <v>428</v>
      </c>
      <c r="B106" t="s">
        <v>154</v>
      </c>
      <c r="C106">
        <v>12</v>
      </c>
      <c r="D106" s="1">
        <v>0.67720000000000002</v>
      </c>
      <c r="E106" s="1">
        <v>0.79296999999999995</v>
      </c>
      <c r="F106" s="1">
        <v>0.88153999999999999</v>
      </c>
    </row>
    <row r="107" spans="1:6">
      <c r="A107">
        <v>430</v>
      </c>
      <c r="B107" t="s">
        <v>155</v>
      </c>
      <c r="C107">
        <v>8</v>
      </c>
      <c r="D107" s="1">
        <v>0.47815000000000002</v>
      </c>
      <c r="E107" s="1">
        <v>0.68591000000000002</v>
      </c>
      <c r="F107" s="1">
        <v>0.80052000000000001</v>
      </c>
    </row>
    <row r="108" spans="1:6">
      <c r="A108">
        <v>434</v>
      </c>
      <c r="B108" t="s">
        <v>156</v>
      </c>
      <c r="C108">
        <v>7</v>
      </c>
      <c r="D108" s="1">
        <v>0.77888000000000002</v>
      </c>
      <c r="E108" s="1">
        <v>0.88719000000000003</v>
      </c>
      <c r="F108" s="1">
        <v>0.93952000000000002</v>
      </c>
    </row>
    <row r="109" spans="1:6">
      <c r="A109">
        <v>438</v>
      </c>
      <c r="B109" t="s">
        <v>157</v>
      </c>
      <c r="C109">
        <v>11</v>
      </c>
      <c r="D109" s="1">
        <v>0.14307</v>
      </c>
      <c r="E109" s="1">
        <v>0.29521999999999998</v>
      </c>
      <c r="F109" s="1">
        <v>0.66463000000000005</v>
      </c>
    </row>
    <row r="110" spans="1:6">
      <c r="A110">
        <v>440</v>
      </c>
      <c r="B110" t="s">
        <v>158</v>
      </c>
      <c r="C110">
        <v>12</v>
      </c>
      <c r="D110" s="1">
        <v>0.66983999999999999</v>
      </c>
      <c r="E110" s="1">
        <v>0.79725999999999997</v>
      </c>
      <c r="F110" s="1">
        <v>0.89246000000000003</v>
      </c>
    </row>
    <row r="111" spans="1:6">
      <c r="A111">
        <v>442</v>
      </c>
      <c r="B111" t="s">
        <v>159</v>
      </c>
      <c r="C111">
        <v>11</v>
      </c>
      <c r="D111" s="1">
        <v>0.85185999999999995</v>
      </c>
      <c r="E111" s="1">
        <v>0.91790000000000005</v>
      </c>
      <c r="F111" s="1">
        <v>0.91790000000000005</v>
      </c>
    </row>
    <row r="112" spans="1:6">
      <c r="A112">
        <v>450</v>
      </c>
      <c r="B112" t="s">
        <v>160</v>
      </c>
      <c r="C112">
        <v>9</v>
      </c>
      <c r="D112" s="1">
        <v>0.30188999999999999</v>
      </c>
      <c r="E112" s="1">
        <v>0.53441000000000005</v>
      </c>
      <c r="F112" s="1">
        <v>0.72885</v>
      </c>
    </row>
    <row r="113" spans="1:6">
      <c r="A113">
        <v>454</v>
      </c>
      <c r="B113" t="s">
        <v>161</v>
      </c>
      <c r="C113">
        <v>26</v>
      </c>
      <c r="D113" s="1">
        <v>0.19769</v>
      </c>
      <c r="E113" s="1">
        <v>0.38884000000000002</v>
      </c>
      <c r="F113" s="1">
        <v>0.64624999999999999</v>
      </c>
    </row>
    <row r="114" spans="1:6">
      <c r="A114">
        <v>458</v>
      </c>
      <c r="B114" t="s">
        <v>162</v>
      </c>
      <c r="C114">
        <v>21</v>
      </c>
      <c r="D114" s="1">
        <v>0.72170999999999996</v>
      </c>
      <c r="E114" s="1">
        <v>0.84694000000000003</v>
      </c>
      <c r="F114" s="1">
        <v>0.93518999999999997</v>
      </c>
    </row>
    <row r="115" spans="1:6">
      <c r="A115">
        <v>466</v>
      </c>
      <c r="B115" t="s">
        <v>163</v>
      </c>
      <c r="C115">
        <v>8</v>
      </c>
      <c r="D115" s="1">
        <v>0.35857</v>
      </c>
      <c r="E115" s="1">
        <v>0.59331999999999996</v>
      </c>
      <c r="F115" s="1">
        <v>0.74441000000000002</v>
      </c>
    </row>
    <row r="116" spans="1:6">
      <c r="A116">
        <v>470</v>
      </c>
      <c r="B116" t="s">
        <v>164</v>
      </c>
      <c r="C116">
        <v>12</v>
      </c>
      <c r="D116" s="1">
        <v>0.94667999999999997</v>
      </c>
      <c r="E116" s="1">
        <v>0.97453999999999996</v>
      </c>
      <c r="F116" s="1">
        <v>0.97453999999999996</v>
      </c>
    </row>
    <row r="117" spans="1:6">
      <c r="A117">
        <v>474</v>
      </c>
      <c r="B117" t="s">
        <v>165</v>
      </c>
      <c r="C117">
        <v>4</v>
      </c>
      <c r="D117" s="1">
        <v>0.89046000000000003</v>
      </c>
      <c r="E117" s="1">
        <v>0.92168000000000005</v>
      </c>
      <c r="F117" s="1">
        <v>0.92168000000000005</v>
      </c>
    </row>
    <row r="118" spans="1:6">
      <c r="A118">
        <v>478</v>
      </c>
      <c r="B118" t="s">
        <v>166</v>
      </c>
      <c r="C118">
        <v>8</v>
      </c>
      <c r="D118" s="1">
        <v>0.41433999999999999</v>
      </c>
      <c r="E118" s="1">
        <v>0.61761999999999995</v>
      </c>
      <c r="F118" s="1">
        <v>0.7429</v>
      </c>
    </row>
    <row r="119" spans="1:6">
      <c r="A119">
        <v>480</v>
      </c>
      <c r="B119" t="s">
        <v>167</v>
      </c>
      <c r="C119">
        <v>9</v>
      </c>
      <c r="D119" s="1">
        <v>0.41837000000000002</v>
      </c>
      <c r="E119" s="1">
        <v>0.62312999999999996</v>
      </c>
      <c r="F119" s="1">
        <v>0.74509000000000003</v>
      </c>
    </row>
    <row r="120" spans="1:6">
      <c r="A120">
        <v>484</v>
      </c>
      <c r="B120" t="s">
        <v>168</v>
      </c>
      <c r="C120">
        <v>3</v>
      </c>
      <c r="D120" s="1">
        <v>0.77827999999999997</v>
      </c>
      <c r="E120" s="1">
        <v>0.88402000000000003</v>
      </c>
      <c r="F120" s="1">
        <v>0.94577</v>
      </c>
    </row>
    <row r="121" spans="1:6">
      <c r="A121">
        <v>496</v>
      </c>
      <c r="B121" t="s">
        <v>169</v>
      </c>
      <c r="C121">
        <v>20</v>
      </c>
      <c r="D121" s="1">
        <v>0.62026000000000003</v>
      </c>
      <c r="E121" s="1">
        <v>0.78302000000000005</v>
      </c>
      <c r="F121" s="1">
        <v>0.87112999999999996</v>
      </c>
    </row>
    <row r="122" spans="1:6">
      <c r="A122">
        <v>498</v>
      </c>
      <c r="B122" t="s">
        <v>170</v>
      </c>
      <c r="C122">
        <v>14</v>
      </c>
      <c r="D122" s="1">
        <v>0.46949999999999997</v>
      </c>
      <c r="E122" s="1">
        <v>0.68079999999999996</v>
      </c>
      <c r="F122" s="1">
        <v>0.81230000000000002</v>
      </c>
    </row>
    <row r="123" spans="1:6">
      <c r="A123">
        <v>500</v>
      </c>
      <c r="B123" t="s">
        <v>171</v>
      </c>
      <c r="C123">
        <v>4</v>
      </c>
      <c r="D123" s="1">
        <v>0.14252999999999999</v>
      </c>
      <c r="E123" s="1">
        <v>0.34787000000000001</v>
      </c>
      <c r="F123" s="1">
        <v>0.68979000000000001</v>
      </c>
    </row>
    <row r="124" spans="1:6">
      <c r="A124">
        <v>504</v>
      </c>
      <c r="B124" t="s">
        <v>172</v>
      </c>
      <c r="C124">
        <v>7</v>
      </c>
      <c r="D124" s="1">
        <v>0.58238999999999996</v>
      </c>
      <c r="E124" s="1">
        <v>0.75214999999999999</v>
      </c>
      <c r="F124" s="1">
        <v>0.82128000000000001</v>
      </c>
    </row>
    <row r="125" spans="1:6">
      <c r="A125">
        <v>508</v>
      </c>
      <c r="B125" t="s">
        <v>173</v>
      </c>
      <c r="C125">
        <v>26</v>
      </c>
      <c r="D125" s="1">
        <v>0.38434000000000001</v>
      </c>
      <c r="E125" s="1">
        <v>0.60977999999999999</v>
      </c>
      <c r="F125" s="1">
        <v>0.74575999999999998</v>
      </c>
    </row>
    <row r="126" spans="1:6">
      <c r="A126">
        <v>512</v>
      </c>
      <c r="B126" t="s">
        <v>174</v>
      </c>
      <c r="C126">
        <v>17</v>
      </c>
      <c r="D126" s="1">
        <v>0.73035000000000005</v>
      </c>
      <c r="E126" s="1">
        <v>0.85433999999999999</v>
      </c>
      <c r="F126" s="1">
        <v>0.93728999999999996</v>
      </c>
    </row>
    <row r="127" spans="1:6">
      <c r="A127">
        <v>516</v>
      </c>
      <c r="B127" t="s">
        <v>175</v>
      </c>
      <c r="C127">
        <v>26</v>
      </c>
      <c r="D127" s="1">
        <v>0.37977</v>
      </c>
      <c r="E127" s="1">
        <v>0.59760000000000002</v>
      </c>
      <c r="F127" s="1">
        <v>0.75322999999999996</v>
      </c>
    </row>
    <row r="128" spans="1:6">
      <c r="A128">
        <v>524</v>
      </c>
      <c r="B128" t="s">
        <v>176</v>
      </c>
      <c r="C128">
        <v>25</v>
      </c>
      <c r="D128" s="1">
        <v>0.18620999999999999</v>
      </c>
      <c r="E128" s="1">
        <v>0.38622000000000001</v>
      </c>
      <c r="F128" s="1">
        <v>0.63431000000000004</v>
      </c>
    </row>
    <row r="129" spans="1:6">
      <c r="A129">
        <v>528</v>
      </c>
      <c r="B129" t="s">
        <v>177</v>
      </c>
      <c r="C129">
        <v>11</v>
      </c>
      <c r="D129" s="1">
        <v>0.82860999999999996</v>
      </c>
      <c r="E129" s="1">
        <v>0.91839999999999999</v>
      </c>
      <c r="F129" s="1">
        <v>0.97321000000000002</v>
      </c>
    </row>
    <row r="130" spans="1:6">
      <c r="A130">
        <v>530</v>
      </c>
      <c r="B130" t="s">
        <v>178</v>
      </c>
      <c r="C130">
        <v>4</v>
      </c>
      <c r="D130" s="1">
        <v>0.93183000000000005</v>
      </c>
      <c r="E130" s="1">
        <v>0.96641999999999995</v>
      </c>
      <c r="F130" s="1">
        <v>0.96641999999999995</v>
      </c>
    </row>
    <row r="131" spans="1:6">
      <c r="A131">
        <v>533</v>
      </c>
      <c r="B131" t="s">
        <v>179</v>
      </c>
      <c r="C131">
        <v>4</v>
      </c>
      <c r="D131" s="1">
        <v>0.46872000000000003</v>
      </c>
      <c r="E131" s="1">
        <v>0.63863999999999999</v>
      </c>
      <c r="F131" s="1">
        <v>0.80886999999999998</v>
      </c>
    </row>
    <row r="132" spans="1:6">
      <c r="A132">
        <v>540</v>
      </c>
      <c r="B132" t="s">
        <v>180</v>
      </c>
      <c r="C132">
        <v>24</v>
      </c>
      <c r="D132" s="1">
        <v>0.57357999999999998</v>
      </c>
      <c r="E132" s="1">
        <v>0.71945999999999999</v>
      </c>
      <c r="F132" s="1">
        <v>0.83704999999999996</v>
      </c>
    </row>
    <row r="133" spans="1:6">
      <c r="A133">
        <v>548</v>
      </c>
      <c r="B133" t="s">
        <v>181</v>
      </c>
      <c r="C133">
        <v>24</v>
      </c>
      <c r="D133" s="1">
        <v>0.25563000000000002</v>
      </c>
      <c r="E133" s="1">
        <v>0.53483999999999998</v>
      </c>
      <c r="F133" s="1">
        <v>0.77268000000000003</v>
      </c>
    </row>
    <row r="134" spans="1:6">
      <c r="A134">
        <v>554</v>
      </c>
      <c r="B134" t="s">
        <v>182</v>
      </c>
      <c r="C134">
        <v>24</v>
      </c>
      <c r="D134" s="1">
        <v>0.86199999999999999</v>
      </c>
      <c r="E134" s="1">
        <v>0.92129000000000005</v>
      </c>
      <c r="F134" s="1">
        <v>0.94923999999999997</v>
      </c>
    </row>
    <row r="135" spans="1:6">
      <c r="A135">
        <v>558</v>
      </c>
      <c r="B135" t="s">
        <v>183</v>
      </c>
      <c r="C135">
        <v>4</v>
      </c>
      <c r="D135" s="1">
        <v>0.57318999999999998</v>
      </c>
      <c r="E135" s="1">
        <v>0.72889000000000004</v>
      </c>
      <c r="F135" s="1">
        <v>0.78732000000000002</v>
      </c>
    </row>
    <row r="136" spans="1:6">
      <c r="A136">
        <v>562</v>
      </c>
      <c r="B136" t="s">
        <v>184</v>
      </c>
      <c r="C136">
        <v>8</v>
      </c>
      <c r="D136" s="1">
        <v>0.17108999999999999</v>
      </c>
      <c r="E136" s="1">
        <v>0.35643000000000002</v>
      </c>
      <c r="F136" s="1">
        <v>0.60409000000000002</v>
      </c>
    </row>
    <row r="137" spans="1:6">
      <c r="A137">
        <v>566</v>
      </c>
      <c r="B137" t="s">
        <v>185</v>
      </c>
      <c r="C137">
        <v>8</v>
      </c>
      <c r="D137" s="1">
        <v>0.49802999999999997</v>
      </c>
      <c r="E137" s="1">
        <v>0.69642000000000004</v>
      </c>
      <c r="F137" s="1">
        <v>0.80515999999999999</v>
      </c>
    </row>
    <row r="138" spans="1:6">
      <c r="A138">
        <v>578</v>
      </c>
      <c r="B138" t="s">
        <v>186</v>
      </c>
      <c r="C138">
        <v>11</v>
      </c>
      <c r="D138" s="1">
        <v>0.79410999999999998</v>
      </c>
      <c r="E138" s="1">
        <v>0.89366999999999996</v>
      </c>
      <c r="F138" s="1">
        <v>0.93593000000000004</v>
      </c>
    </row>
    <row r="139" spans="1:6">
      <c r="A139">
        <v>586</v>
      </c>
      <c r="B139" t="s">
        <v>187</v>
      </c>
      <c r="C139">
        <v>25</v>
      </c>
      <c r="D139" s="1">
        <v>0.35894999999999999</v>
      </c>
      <c r="E139" s="1">
        <v>0.57770999999999995</v>
      </c>
      <c r="F139" s="1">
        <v>0.74155000000000004</v>
      </c>
    </row>
    <row r="140" spans="1:6">
      <c r="A140">
        <v>591</v>
      </c>
      <c r="B140" t="s">
        <v>188</v>
      </c>
      <c r="C140">
        <v>4</v>
      </c>
      <c r="D140" s="1">
        <v>0.74799000000000004</v>
      </c>
      <c r="E140" s="1">
        <v>0.86929999999999996</v>
      </c>
      <c r="F140" s="1">
        <v>0.93203000000000003</v>
      </c>
    </row>
    <row r="141" spans="1:6">
      <c r="A141">
        <v>598</v>
      </c>
      <c r="B141" t="s">
        <v>189</v>
      </c>
      <c r="C141">
        <v>22</v>
      </c>
      <c r="D141" s="1">
        <v>0.12526000000000001</v>
      </c>
      <c r="E141" s="1">
        <v>0.31378</v>
      </c>
      <c r="F141" s="1">
        <v>0.54690000000000005</v>
      </c>
    </row>
    <row r="142" spans="1:6">
      <c r="A142">
        <v>600</v>
      </c>
      <c r="B142" t="s">
        <v>190</v>
      </c>
      <c r="C142">
        <v>6</v>
      </c>
      <c r="D142" s="1">
        <v>0.61495</v>
      </c>
      <c r="E142" s="1">
        <v>0.77746999999999999</v>
      </c>
      <c r="F142" s="1">
        <v>0.86546999999999996</v>
      </c>
    </row>
    <row r="143" spans="1:6">
      <c r="A143">
        <v>604</v>
      </c>
      <c r="B143" t="s">
        <v>191</v>
      </c>
      <c r="C143">
        <v>6</v>
      </c>
      <c r="D143" s="1">
        <v>0.76919999999999999</v>
      </c>
      <c r="E143" s="1">
        <v>0.87504000000000004</v>
      </c>
      <c r="F143" s="1">
        <v>0.94047999999999998</v>
      </c>
    </row>
    <row r="144" spans="1:6">
      <c r="A144">
        <v>608</v>
      </c>
      <c r="B144" t="s">
        <v>192</v>
      </c>
      <c r="C144">
        <v>21</v>
      </c>
      <c r="D144" s="1">
        <v>0.48903000000000002</v>
      </c>
      <c r="E144" s="1">
        <v>0.68242999999999998</v>
      </c>
      <c r="F144" s="1">
        <v>0.79593000000000003</v>
      </c>
    </row>
    <row r="145" spans="1:6">
      <c r="A145">
        <v>616</v>
      </c>
      <c r="B145" t="s">
        <v>193</v>
      </c>
      <c r="C145">
        <v>12</v>
      </c>
      <c r="D145" s="1">
        <v>0.60958000000000001</v>
      </c>
      <c r="E145" s="1">
        <v>0.77207000000000003</v>
      </c>
      <c r="F145" s="1">
        <v>0.86001000000000005</v>
      </c>
    </row>
    <row r="146" spans="1:6">
      <c r="A146">
        <v>620</v>
      </c>
      <c r="B146" t="s">
        <v>194</v>
      </c>
      <c r="C146">
        <v>11</v>
      </c>
      <c r="D146" s="1">
        <v>0.60702999999999996</v>
      </c>
      <c r="E146" s="1">
        <v>0.77137999999999995</v>
      </c>
      <c r="F146" s="1">
        <v>0.86033000000000004</v>
      </c>
    </row>
    <row r="147" spans="1:6">
      <c r="A147">
        <v>624</v>
      </c>
      <c r="B147" t="s">
        <v>195</v>
      </c>
      <c r="C147">
        <v>8</v>
      </c>
      <c r="D147" s="1">
        <v>0.30003000000000002</v>
      </c>
      <c r="E147" s="1">
        <v>0.52902000000000005</v>
      </c>
      <c r="F147" s="1">
        <v>0.74350000000000005</v>
      </c>
    </row>
    <row r="148" spans="1:6">
      <c r="A148">
        <v>626</v>
      </c>
      <c r="B148" t="s">
        <v>196</v>
      </c>
      <c r="C148">
        <v>22</v>
      </c>
      <c r="D148" s="1">
        <v>0.28122000000000003</v>
      </c>
      <c r="E148" s="1">
        <v>0.52383999999999997</v>
      </c>
      <c r="F148" s="1">
        <v>0.71611000000000002</v>
      </c>
    </row>
    <row r="149" spans="1:6">
      <c r="A149">
        <v>630</v>
      </c>
      <c r="B149" t="s">
        <v>197</v>
      </c>
      <c r="C149">
        <v>4</v>
      </c>
      <c r="D149" s="1">
        <v>0.98785000000000001</v>
      </c>
      <c r="E149" s="1">
        <v>0.99714000000000003</v>
      </c>
      <c r="F149" s="1">
        <v>0.99714000000000003</v>
      </c>
    </row>
    <row r="150" spans="1:6">
      <c r="A150">
        <v>634</v>
      </c>
      <c r="B150" t="s">
        <v>198</v>
      </c>
      <c r="C150">
        <v>17</v>
      </c>
      <c r="D150" s="1">
        <v>0.95831</v>
      </c>
      <c r="E150" s="1">
        <v>0.98050000000000004</v>
      </c>
      <c r="F150" s="1">
        <v>0.99258000000000002</v>
      </c>
    </row>
    <row r="151" spans="1:6">
      <c r="A151">
        <v>638</v>
      </c>
      <c r="B151" t="s">
        <v>199</v>
      </c>
      <c r="C151">
        <v>9</v>
      </c>
      <c r="D151" s="1">
        <v>0.94013999999999998</v>
      </c>
      <c r="E151" s="1">
        <v>0.97345000000000004</v>
      </c>
      <c r="F151" s="1">
        <v>0.97345000000000004</v>
      </c>
    </row>
    <row r="152" spans="1:6">
      <c r="A152">
        <v>642</v>
      </c>
      <c r="B152" t="s">
        <v>200</v>
      </c>
      <c r="C152">
        <v>12</v>
      </c>
      <c r="D152" s="1">
        <v>0.57467000000000001</v>
      </c>
      <c r="E152" s="1">
        <v>0.73036000000000001</v>
      </c>
      <c r="F152" s="1">
        <v>0.78883000000000003</v>
      </c>
    </row>
    <row r="153" spans="1:6">
      <c r="A153">
        <v>643</v>
      </c>
      <c r="B153" t="s">
        <v>201</v>
      </c>
      <c r="C153">
        <v>16</v>
      </c>
      <c r="D153" s="1">
        <v>0.73167000000000004</v>
      </c>
      <c r="E153" s="1">
        <v>0.85575999999999997</v>
      </c>
      <c r="F153" s="1">
        <v>0.92915000000000003</v>
      </c>
    </row>
    <row r="154" spans="1:6">
      <c r="A154">
        <v>646</v>
      </c>
      <c r="B154" t="s">
        <v>202</v>
      </c>
      <c r="C154">
        <v>9</v>
      </c>
      <c r="D154" s="1">
        <v>0.18854000000000001</v>
      </c>
      <c r="E154" s="1">
        <v>0.38893</v>
      </c>
      <c r="F154" s="1">
        <v>0.64627999999999997</v>
      </c>
    </row>
    <row r="155" spans="1:6">
      <c r="A155">
        <v>659</v>
      </c>
      <c r="B155" t="s">
        <v>203</v>
      </c>
      <c r="C155">
        <v>4</v>
      </c>
      <c r="D155" s="1">
        <v>0.3241</v>
      </c>
      <c r="E155" s="1">
        <v>0.55291999999999997</v>
      </c>
      <c r="F155" s="1">
        <v>0.77898000000000001</v>
      </c>
    </row>
    <row r="156" spans="1:6">
      <c r="A156">
        <v>660</v>
      </c>
      <c r="B156" t="s">
        <v>204</v>
      </c>
      <c r="C156">
        <v>4</v>
      </c>
      <c r="D156" s="1">
        <v>1</v>
      </c>
      <c r="E156" s="1">
        <v>1</v>
      </c>
      <c r="F156" s="1">
        <v>1</v>
      </c>
    </row>
    <row r="157" spans="1:6">
      <c r="A157">
        <v>662</v>
      </c>
      <c r="B157" t="s">
        <v>205</v>
      </c>
      <c r="C157">
        <v>4</v>
      </c>
      <c r="D157" s="1">
        <v>0.27966000000000002</v>
      </c>
      <c r="E157" s="1">
        <v>0.50361</v>
      </c>
      <c r="F157" s="1">
        <v>0.76178999999999997</v>
      </c>
    </row>
    <row r="158" spans="1:6">
      <c r="A158">
        <v>666</v>
      </c>
      <c r="B158" t="s">
        <v>206</v>
      </c>
      <c r="C158">
        <v>2</v>
      </c>
      <c r="D158" s="1">
        <v>0.90564</v>
      </c>
      <c r="E158" s="1">
        <v>0.94511999999999996</v>
      </c>
      <c r="F158" s="1">
        <v>0.94511999999999996</v>
      </c>
    </row>
    <row r="159" spans="1:6">
      <c r="A159">
        <v>670</v>
      </c>
      <c r="B159" t="s">
        <v>207</v>
      </c>
      <c r="C159">
        <v>4</v>
      </c>
      <c r="D159" s="1">
        <v>0.49329000000000001</v>
      </c>
      <c r="E159" s="1">
        <v>0.71891000000000005</v>
      </c>
      <c r="F159" s="1">
        <v>0.83686000000000005</v>
      </c>
    </row>
    <row r="160" spans="1:6">
      <c r="A160">
        <v>678</v>
      </c>
      <c r="B160" t="s">
        <v>208</v>
      </c>
      <c r="C160">
        <v>8</v>
      </c>
      <c r="D160" s="1">
        <v>0.62224999999999997</v>
      </c>
      <c r="E160" s="1">
        <v>0.82123999999999997</v>
      </c>
      <c r="F160" s="1">
        <v>0.87253999999999998</v>
      </c>
    </row>
    <row r="161" spans="1:6">
      <c r="A161">
        <v>682</v>
      </c>
      <c r="B161" t="s">
        <v>209</v>
      </c>
      <c r="C161">
        <v>17</v>
      </c>
      <c r="D161" s="1">
        <v>0.82074000000000003</v>
      </c>
      <c r="E161" s="1">
        <v>0.91110999999999998</v>
      </c>
      <c r="F161" s="1">
        <v>0.96555000000000002</v>
      </c>
    </row>
    <row r="162" spans="1:6">
      <c r="A162">
        <v>686</v>
      </c>
      <c r="B162" t="s">
        <v>210</v>
      </c>
      <c r="C162">
        <v>8</v>
      </c>
      <c r="D162" s="1">
        <v>0.42379</v>
      </c>
      <c r="E162" s="1">
        <v>0.63595999999999997</v>
      </c>
      <c r="F162" s="1">
        <v>0.76671999999999996</v>
      </c>
    </row>
    <row r="163" spans="1:6">
      <c r="A163">
        <v>694</v>
      </c>
      <c r="B163" t="s">
        <v>211</v>
      </c>
      <c r="C163">
        <v>8</v>
      </c>
      <c r="D163" s="1">
        <v>0.38395000000000001</v>
      </c>
      <c r="E163" s="1">
        <v>0.59750999999999999</v>
      </c>
      <c r="F163" s="1">
        <v>0.75566999999999995</v>
      </c>
    </row>
    <row r="164" spans="1:6">
      <c r="A164">
        <v>702</v>
      </c>
      <c r="B164" t="s">
        <v>212</v>
      </c>
      <c r="C164">
        <v>21</v>
      </c>
      <c r="D164" s="1">
        <v>1</v>
      </c>
      <c r="E164" s="1">
        <v>1</v>
      </c>
      <c r="F164" s="1">
        <v>1</v>
      </c>
    </row>
    <row r="165" spans="1:6">
      <c r="A165">
        <v>703</v>
      </c>
      <c r="B165" t="s">
        <v>213</v>
      </c>
      <c r="C165">
        <v>12</v>
      </c>
      <c r="D165" s="1">
        <v>0.54966999999999999</v>
      </c>
      <c r="E165" s="1">
        <v>0.71409999999999996</v>
      </c>
      <c r="F165" s="1">
        <v>0.78171000000000002</v>
      </c>
    </row>
    <row r="166" spans="1:6">
      <c r="A166">
        <v>704</v>
      </c>
      <c r="B166" t="s">
        <v>214</v>
      </c>
      <c r="C166">
        <v>21</v>
      </c>
      <c r="D166" s="1">
        <v>0.30379</v>
      </c>
      <c r="E166" s="1">
        <v>0.54063000000000005</v>
      </c>
      <c r="F166" s="1">
        <v>0.73916999999999999</v>
      </c>
    </row>
    <row r="167" spans="1:6">
      <c r="A167">
        <v>705</v>
      </c>
      <c r="B167" t="s">
        <v>215</v>
      </c>
      <c r="C167">
        <v>12</v>
      </c>
      <c r="D167" s="1">
        <v>0.49504999999999999</v>
      </c>
      <c r="E167" s="1">
        <v>0.68662999999999996</v>
      </c>
      <c r="F167" s="1">
        <v>0.78971000000000002</v>
      </c>
    </row>
    <row r="168" spans="1:6">
      <c r="A168">
        <v>706</v>
      </c>
      <c r="B168" t="s">
        <v>216</v>
      </c>
      <c r="C168">
        <v>9</v>
      </c>
      <c r="D168" s="1">
        <v>0.37447999999999998</v>
      </c>
      <c r="E168" s="1">
        <v>0.58662000000000003</v>
      </c>
      <c r="F168" s="1">
        <v>0.74773999999999996</v>
      </c>
    </row>
    <row r="169" spans="1:6">
      <c r="A169">
        <v>710</v>
      </c>
      <c r="B169" t="s">
        <v>217</v>
      </c>
      <c r="C169">
        <v>10</v>
      </c>
      <c r="D169" s="1">
        <v>0.61702000000000001</v>
      </c>
      <c r="E169" s="1">
        <v>0.77898000000000001</v>
      </c>
      <c r="F169" s="1">
        <v>0.86414000000000002</v>
      </c>
    </row>
    <row r="170" spans="1:6">
      <c r="A170">
        <v>716</v>
      </c>
      <c r="B170" t="s">
        <v>218</v>
      </c>
      <c r="C170">
        <v>26</v>
      </c>
      <c r="D170" s="1">
        <v>0.38253999999999999</v>
      </c>
      <c r="E170" s="1">
        <v>0.59609000000000001</v>
      </c>
      <c r="F170" s="1">
        <v>0.75424999999999998</v>
      </c>
    </row>
    <row r="171" spans="1:6">
      <c r="A171">
        <v>724</v>
      </c>
      <c r="B171" t="s">
        <v>219</v>
      </c>
      <c r="C171">
        <v>11</v>
      </c>
      <c r="D171" s="1">
        <v>0.77395999999999998</v>
      </c>
      <c r="E171" s="1">
        <v>0.88305</v>
      </c>
      <c r="F171" s="1">
        <v>0.95279000000000003</v>
      </c>
    </row>
    <row r="172" spans="1:6">
      <c r="A172">
        <v>732</v>
      </c>
      <c r="B172" t="s">
        <v>220</v>
      </c>
      <c r="C172">
        <v>7</v>
      </c>
      <c r="D172" s="1">
        <v>0.81830999999999998</v>
      </c>
      <c r="E172" s="1">
        <v>0.89449000000000001</v>
      </c>
      <c r="F172" s="1">
        <v>0.89807999999999999</v>
      </c>
    </row>
    <row r="173" spans="1:6">
      <c r="A173">
        <v>736</v>
      </c>
      <c r="B173" t="s">
        <v>221</v>
      </c>
      <c r="C173">
        <v>9</v>
      </c>
      <c r="D173" s="1">
        <v>0.40104000000000001</v>
      </c>
      <c r="E173" s="1">
        <v>0.60884000000000005</v>
      </c>
      <c r="F173" s="1">
        <v>0.74067000000000005</v>
      </c>
    </row>
    <row r="174" spans="1:6">
      <c r="A174">
        <v>740</v>
      </c>
      <c r="B174" t="s">
        <v>222</v>
      </c>
      <c r="C174">
        <v>6</v>
      </c>
      <c r="D174" s="1">
        <v>0.69381999999999999</v>
      </c>
      <c r="E174" s="1">
        <v>0.83579999999999999</v>
      </c>
      <c r="F174" s="1">
        <v>0.87761</v>
      </c>
    </row>
    <row r="175" spans="1:6">
      <c r="A175">
        <v>748</v>
      </c>
      <c r="B175" t="s">
        <v>223</v>
      </c>
      <c r="C175">
        <v>26</v>
      </c>
      <c r="D175" s="1">
        <v>0.21373</v>
      </c>
      <c r="E175" s="1">
        <v>0.42280000000000001</v>
      </c>
      <c r="F175" s="1">
        <v>0.63234000000000001</v>
      </c>
    </row>
    <row r="176" spans="1:6">
      <c r="A176">
        <v>752</v>
      </c>
      <c r="B176" t="s">
        <v>224</v>
      </c>
      <c r="C176">
        <v>11</v>
      </c>
      <c r="D176" s="1">
        <v>0.84682000000000002</v>
      </c>
      <c r="E176" s="1">
        <v>0.91815999999999998</v>
      </c>
      <c r="F176" s="1">
        <v>0.95823000000000003</v>
      </c>
    </row>
    <row r="177" spans="1:6">
      <c r="A177">
        <v>756</v>
      </c>
      <c r="B177" t="s">
        <v>225</v>
      </c>
      <c r="C177">
        <v>11</v>
      </c>
      <c r="D177" s="1">
        <v>0.73623000000000005</v>
      </c>
      <c r="E177" s="1">
        <v>0.85829</v>
      </c>
      <c r="F177" s="1">
        <v>0.93352000000000002</v>
      </c>
    </row>
    <row r="178" spans="1:6">
      <c r="A178">
        <v>760</v>
      </c>
      <c r="B178" t="s">
        <v>226</v>
      </c>
      <c r="C178">
        <v>17</v>
      </c>
      <c r="D178" s="1">
        <v>0.55740999999999996</v>
      </c>
      <c r="E178" s="1">
        <v>0.72265000000000001</v>
      </c>
      <c r="F178" s="1">
        <v>0.79418</v>
      </c>
    </row>
    <row r="179" spans="1:6">
      <c r="A179">
        <v>762</v>
      </c>
      <c r="B179" t="s">
        <v>227</v>
      </c>
      <c r="C179">
        <v>15</v>
      </c>
      <c r="D179" s="1">
        <v>0.26318999999999998</v>
      </c>
      <c r="E179" s="1">
        <v>0.48887999999999998</v>
      </c>
      <c r="F179" s="1">
        <v>0.68527000000000005</v>
      </c>
    </row>
    <row r="180" spans="1:6">
      <c r="A180">
        <v>764</v>
      </c>
      <c r="B180" t="s">
        <v>228</v>
      </c>
      <c r="C180">
        <v>21</v>
      </c>
      <c r="D180" s="1">
        <v>0.33962999999999999</v>
      </c>
      <c r="E180" s="1">
        <v>0.55840000000000001</v>
      </c>
      <c r="F180" s="1">
        <v>0.73292000000000002</v>
      </c>
    </row>
    <row r="181" spans="1:6">
      <c r="A181">
        <v>768</v>
      </c>
      <c r="B181" t="s">
        <v>229</v>
      </c>
      <c r="C181">
        <v>8</v>
      </c>
      <c r="D181" s="1">
        <v>0.43441000000000002</v>
      </c>
      <c r="E181" s="1">
        <v>0.64992000000000005</v>
      </c>
      <c r="F181" s="1">
        <v>0.76924000000000003</v>
      </c>
    </row>
    <row r="182" spans="1:6">
      <c r="A182">
        <v>776</v>
      </c>
      <c r="B182" t="s">
        <v>230</v>
      </c>
      <c r="C182">
        <v>24</v>
      </c>
      <c r="D182" s="1">
        <v>0.23427999999999999</v>
      </c>
      <c r="E182" s="1">
        <v>0.44502000000000003</v>
      </c>
      <c r="F182" s="1">
        <v>0.73423000000000005</v>
      </c>
    </row>
    <row r="183" spans="1:6">
      <c r="A183">
        <v>780</v>
      </c>
      <c r="B183" t="s">
        <v>231</v>
      </c>
      <c r="C183">
        <v>4</v>
      </c>
      <c r="D183" s="1">
        <v>0.13877</v>
      </c>
      <c r="E183" s="1">
        <v>0.33195000000000002</v>
      </c>
      <c r="F183" s="1">
        <v>0.58043999999999996</v>
      </c>
    </row>
    <row r="184" spans="1:6">
      <c r="A184">
        <v>784</v>
      </c>
      <c r="B184" t="s">
        <v>232</v>
      </c>
      <c r="C184">
        <v>17</v>
      </c>
      <c r="D184" s="1">
        <v>0.84050000000000002</v>
      </c>
      <c r="E184" s="1">
        <v>0.92125000000000001</v>
      </c>
      <c r="F184" s="1">
        <v>0.96899999999999997</v>
      </c>
    </row>
    <row r="185" spans="1:6">
      <c r="A185">
        <v>788</v>
      </c>
      <c r="B185" t="s">
        <v>233</v>
      </c>
      <c r="C185">
        <v>7</v>
      </c>
      <c r="D185" s="1">
        <v>0.67283999999999999</v>
      </c>
      <c r="E185" s="1">
        <v>0.79354000000000002</v>
      </c>
      <c r="F185" s="1">
        <v>0.88637999999999995</v>
      </c>
    </row>
    <row r="186" spans="1:6">
      <c r="A186">
        <v>792</v>
      </c>
      <c r="B186" t="s">
        <v>234</v>
      </c>
      <c r="C186">
        <v>13</v>
      </c>
      <c r="D186" s="1">
        <v>0.69649000000000005</v>
      </c>
      <c r="E186" s="1">
        <v>0.80223</v>
      </c>
      <c r="F186" s="1">
        <v>0.89426000000000005</v>
      </c>
    </row>
    <row r="187" spans="1:6">
      <c r="A187">
        <v>795</v>
      </c>
      <c r="B187" t="s">
        <v>235</v>
      </c>
      <c r="C187">
        <v>15</v>
      </c>
      <c r="D187" s="1">
        <v>0.49502000000000002</v>
      </c>
      <c r="E187" s="1">
        <v>0.68674000000000002</v>
      </c>
      <c r="F187" s="1">
        <v>0.79203000000000001</v>
      </c>
    </row>
    <row r="188" spans="1:6">
      <c r="A188">
        <v>796</v>
      </c>
      <c r="B188" t="s">
        <v>236</v>
      </c>
      <c r="C188">
        <v>4</v>
      </c>
      <c r="D188" s="1">
        <v>0.93255999999999994</v>
      </c>
      <c r="E188" s="1">
        <v>0.98170000000000002</v>
      </c>
      <c r="F188" s="1">
        <v>0.98170000000000002</v>
      </c>
    </row>
    <row r="189" spans="1:6">
      <c r="A189">
        <v>800</v>
      </c>
      <c r="B189" t="s">
        <v>237</v>
      </c>
      <c r="C189">
        <v>9</v>
      </c>
      <c r="D189" s="1">
        <v>0.13295000000000001</v>
      </c>
      <c r="E189" s="1">
        <v>0.31986999999999999</v>
      </c>
      <c r="F189" s="1">
        <v>0.54168000000000005</v>
      </c>
    </row>
    <row r="190" spans="1:6">
      <c r="A190">
        <v>804</v>
      </c>
      <c r="B190" t="s">
        <v>238</v>
      </c>
      <c r="C190">
        <v>14</v>
      </c>
      <c r="D190" s="1">
        <v>0.68786999999999998</v>
      </c>
      <c r="E190" s="1">
        <v>0.80711999999999995</v>
      </c>
      <c r="F190" s="1">
        <v>0.89276</v>
      </c>
    </row>
    <row r="191" spans="1:6">
      <c r="A191">
        <v>807</v>
      </c>
      <c r="B191" t="s">
        <v>239</v>
      </c>
      <c r="C191">
        <v>12</v>
      </c>
      <c r="D191" s="1">
        <v>0.59313000000000005</v>
      </c>
      <c r="E191" s="1">
        <v>0.76139999999999997</v>
      </c>
      <c r="F191" s="1">
        <v>0.82857000000000003</v>
      </c>
    </row>
    <row r="192" spans="1:6">
      <c r="A192">
        <v>818</v>
      </c>
      <c r="B192" t="s">
        <v>240</v>
      </c>
      <c r="C192">
        <v>7</v>
      </c>
      <c r="D192" s="1">
        <v>0.43402000000000002</v>
      </c>
      <c r="E192" s="1">
        <v>0.64595999999999998</v>
      </c>
      <c r="F192" s="1">
        <v>0.78581000000000001</v>
      </c>
    </row>
    <row r="193" spans="1:6">
      <c r="A193">
        <v>826</v>
      </c>
      <c r="B193" t="s">
        <v>241</v>
      </c>
      <c r="C193">
        <v>11</v>
      </c>
      <c r="D193" s="1">
        <v>0.79637999999999998</v>
      </c>
      <c r="E193" s="1">
        <v>0.89559999999999995</v>
      </c>
      <c r="F193" s="1">
        <v>0.93703999999999998</v>
      </c>
    </row>
    <row r="194" spans="1:6">
      <c r="A194">
        <v>834</v>
      </c>
      <c r="B194" t="s">
        <v>242</v>
      </c>
      <c r="C194">
        <v>26</v>
      </c>
      <c r="D194" s="1">
        <v>0.26383000000000001</v>
      </c>
      <c r="E194" s="1">
        <v>0.48952000000000001</v>
      </c>
      <c r="F194" s="1">
        <v>0.68596000000000001</v>
      </c>
    </row>
    <row r="195" spans="1:6">
      <c r="A195">
        <v>840</v>
      </c>
      <c r="B195" t="s">
        <v>243</v>
      </c>
      <c r="C195">
        <v>2</v>
      </c>
      <c r="D195" s="1">
        <v>0.82286000000000004</v>
      </c>
      <c r="E195" s="1">
        <v>0.91329000000000005</v>
      </c>
      <c r="F195" s="1">
        <v>0.96736999999999995</v>
      </c>
    </row>
    <row r="196" spans="1:6">
      <c r="A196">
        <v>850</v>
      </c>
      <c r="B196" t="s">
        <v>244</v>
      </c>
      <c r="C196">
        <v>4</v>
      </c>
      <c r="D196" s="1">
        <v>0.95269999999999999</v>
      </c>
      <c r="E196" s="1">
        <v>0.97746</v>
      </c>
      <c r="F196" s="1">
        <v>0.97746</v>
      </c>
    </row>
    <row r="197" spans="1:6">
      <c r="A197">
        <v>854</v>
      </c>
      <c r="B197" t="s">
        <v>245</v>
      </c>
      <c r="C197">
        <v>8</v>
      </c>
      <c r="D197" s="1">
        <v>0.25689000000000001</v>
      </c>
      <c r="E197" s="1">
        <v>0.53156999999999999</v>
      </c>
      <c r="F197" s="1">
        <v>0.71499999999999997</v>
      </c>
    </row>
    <row r="198" spans="1:6">
      <c r="A198">
        <v>858</v>
      </c>
      <c r="B198" t="s">
        <v>246</v>
      </c>
      <c r="C198">
        <v>6</v>
      </c>
      <c r="D198" s="1">
        <v>0.92479</v>
      </c>
      <c r="E198" s="1">
        <v>0.95791000000000004</v>
      </c>
      <c r="F198" s="1">
        <v>0.98004999999999998</v>
      </c>
    </row>
    <row r="199" spans="1:6">
      <c r="A199">
        <v>860</v>
      </c>
      <c r="B199" t="s">
        <v>247</v>
      </c>
      <c r="C199">
        <v>15</v>
      </c>
      <c r="D199" s="1">
        <v>0.36247000000000001</v>
      </c>
      <c r="E199" s="1">
        <v>0.57970999999999995</v>
      </c>
      <c r="F199" s="1">
        <v>0.74612000000000001</v>
      </c>
    </row>
    <row r="200" spans="1:6">
      <c r="A200">
        <v>862</v>
      </c>
      <c r="B200" t="s">
        <v>248</v>
      </c>
      <c r="C200">
        <v>6</v>
      </c>
      <c r="D200" s="1">
        <v>0.93352999999999997</v>
      </c>
      <c r="E200" s="1">
        <v>0.98699000000000003</v>
      </c>
      <c r="F200" s="1">
        <v>0.99839999999999995</v>
      </c>
    </row>
    <row r="201" spans="1:6">
      <c r="A201">
        <v>882</v>
      </c>
      <c r="B201" t="s">
        <v>249</v>
      </c>
      <c r="C201">
        <v>24</v>
      </c>
      <c r="D201" s="1">
        <v>0.20230999999999999</v>
      </c>
      <c r="E201" s="1">
        <v>0.36637999999999998</v>
      </c>
      <c r="F201" s="1">
        <v>0.69684000000000001</v>
      </c>
    </row>
    <row r="202" spans="1:6">
      <c r="A202">
        <v>887</v>
      </c>
      <c r="B202" t="s">
        <v>250</v>
      </c>
      <c r="C202">
        <v>17</v>
      </c>
      <c r="D202" s="1">
        <v>0.31802999999999998</v>
      </c>
      <c r="E202" s="1">
        <v>0.55761000000000005</v>
      </c>
      <c r="F202" s="1">
        <v>0.71828000000000003</v>
      </c>
    </row>
    <row r="203" spans="1:6">
      <c r="A203">
        <v>891</v>
      </c>
      <c r="B203" t="s">
        <v>251</v>
      </c>
      <c r="C203">
        <v>12</v>
      </c>
      <c r="D203" s="1">
        <v>0.56061000000000005</v>
      </c>
      <c r="E203" s="1">
        <v>0.72694999999999999</v>
      </c>
      <c r="F203" s="1">
        <v>0.79820999999999998</v>
      </c>
    </row>
    <row r="204" spans="1:6">
      <c r="A204">
        <v>894</v>
      </c>
      <c r="B204" t="s">
        <v>252</v>
      </c>
      <c r="C204">
        <v>26</v>
      </c>
      <c r="D204" s="1">
        <v>0.35702</v>
      </c>
      <c r="E204" s="1">
        <v>0.57943</v>
      </c>
      <c r="F204" s="1">
        <v>0.74858000000000002</v>
      </c>
    </row>
  </sheetData>
  <pageMargins left="0.7" right="0.7" top="0.75" bottom="0.75" header="0.3" footer="0.3"/>
  <customProperties>
    <customPr name="EpmWorksheetKeyString_GUI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D500CA69960BB45B95C956E750213A2" ma:contentTypeVersion="8" ma:contentTypeDescription="Create a new document." ma:contentTypeScope="" ma:versionID="c4e7e6fdf3d01c0c64bc150e2a1e69b1">
  <xsd:schema xmlns:xsd="http://www.w3.org/2001/XMLSchema" xmlns:xs="http://www.w3.org/2001/XMLSchema" xmlns:p="http://schemas.microsoft.com/office/2006/metadata/properties" xmlns:ns2="c85669a6-b821-45f5-87dd-5f9d951fe5af" xmlns:ns3="34cdfad6-e99e-4eef-a605-fdd2655697db" targetNamespace="http://schemas.microsoft.com/office/2006/metadata/properties" ma:root="true" ma:fieldsID="3e97e9313df557537574d15ec640512a" ns2:_="" ns3:_="">
    <xsd:import namespace="c85669a6-b821-45f5-87dd-5f9d951fe5af"/>
    <xsd:import namespace="34cdfad6-e99e-4eef-a605-fdd2655697d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5669a6-b821-45f5-87dd-5f9d951fe5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dfad6-e99e-4eef-a605-fdd2655697d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7590CF5-9651-467C-8517-659BEC760B18}"/>
</file>

<file path=customXml/itemProps2.xml><?xml version="1.0" encoding="utf-8"?>
<ds:datastoreItem xmlns:ds="http://schemas.openxmlformats.org/officeDocument/2006/customXml" ds:itemID="{7605E62E-3639-4F2F-9F85-176484480A32}"/>
</file>

<file path=customXml/itemProps3.xml><?xml version="1.0" encoding="utf-8"?>
<ds:datastoreItem xmlns:ds="http://schemas.openxmlformats.org/officeDocument/2006/customXml" ds:itemID="{35921397-E002-4981-8163-888CF850C57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Puijenbroek, van Peter</dc:creator>
  <cp:keywords/>
  <dc:description/>
  <cp:lastModifiedBy>Hofstra, Nynke</cp:lastModifiedBy>
  <cp:revision/>
  <dcterms:created xsi:type="dcterms:W3CDTF">2021-02-19T16:02:30Z</dcterms:created>
  <dcterms:modified xsi:type="dcterms:W3CDTF">2021-12-13T11:17:35Z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0x0101001D500CA69960BB45B95C956E750213A2</vt:lpwstr>
  </property>
</Properties>
</file>